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cop\Universidad\Tesis\"/>
    </mc:Choice>
  </mc:AlternateContent>
  <xr:revisionPtr revIDLastSave="0" documentId="13_ncr:1_{3AFFF909-6C3E-424A-92BE-FA4C91D83314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  <sheet name="RQ1_1" sheetId="14" r:id="rId2"/>
    <sheet name="RQ1_1.1" sheetId="9" r:id="rId3"/>
    <sheet name="RQ1_2" sheetId="10" r:id="rId4"/>
    <sheet name="RQ1_3" sheetId="12" r:id="rId5"/>
    <sheet name="RQ2" sheetId="11" r:id="rId6"/>
    <sheet name="RQ3_1" sheetId="13" r:id="rId7"/>
    <sheet name="RQ3_2" sheetId="7" r:id="rId8"/>
  </sheets>
  <definedNames>
    <definedName name="_xlnm._FilterDatabase" localSheetId="3" hidden="1">RQ1_2!$A$1:$J$226</definedName>
    <definedName name="_xlnm._FilterDatabase" localSheetId="5" hidden="1">'RQ2'!$A$1:$AD$227</definedName>
    <definedName name="_xlnm._FilterDatabase" localSheetId="6" hidden="1">RQ3_1!$A$1:$D$785</definedName>
    <definedName name="_xlnm._FilterDatabase" localSheetId="7" hidden="1">RQ3_2!$A$1:$C$227</definedName>
    <definedName name="_xlnm._FilterDatabase" localSheetId="0" hidden="1">Sheet1!$A$3:$A$786</definedName>
    <definedName name="_xlchart.v1.0" hidden="1">RQ1_2!$B$1</definedName>
    <definedName name="_xlchart.v1.1" hidden="1">RQ1_2!$B$2:$B$226</definedName>
    <definedName name="_xlchart.v1.10" hidden="1">RQ1_2!$D$1</definedName>
    <definedName name="_xlchart.v1.11" hidden="1">RQ1_2!$D$2:$D$226</definedName>
    <definedName name="_xlchart.v1.12" hidden="1">RQ1_2!$B$1</definedName>
    <definedName name="_xlchart.v1.13" hidden="1">RQ1_2!$B$2:$B$226</definedName>
    <definedName name="_xlchart.v1.14" hidden="1">RQ1_2!$C$1</definedName>
    <definedName name="_xlchart.v1.15" hidden="1">RQ1_2!$C$2:$C$226</definedName>
    <definedName name="_xlchart.v1.16" hidden="1">RQ1_2!$D$1</definedName>
    <definedName name="_xlchart.v1.17" hidden="1">RQ1_2!$D$2:$D$226</definedName>
    <definedName name="_xlchart.v1.2" hidden="1">RQ1_2!$C$1</definedName>
    <definedName name="_xlchart.v1.3" hidden="1">RQ1_2!$C$2:$C$226</definedName>
    <definedName name="_xlchart.v1.4" hidden="1">RQ1_2!$D$1</definedName>
    <definedName name="_xlchart.v1.5" hidden="1">RQ1_2!$D$2:$D$226</definedName>
    <definedName name="_xlchart.v1.6" hidden="1">RQ1_2!$B$1</definedName>
    <definedName name="_xlchart.v1.7" hidden="1">RQ1_2!$B$2:$B$226</definedName>
    <definedName name="_xlchart.v1.8" hidden="1">RQ1_2!$C$1</definedName>
    <definedName name="_xlchart.v1.9" hidden="1">RQ1_2!$C$2:$C$226</definedName>
    <definedName name="_xlnm.Criteria" localSheetId="0">Sheet1!$A$3:$A$786</definedName>
    <definedName name="_xlnm.Extract" localSheetId="0">Sheet1!$AG$2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13" l="1"/>
  <c r="AA2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" i="9"/>
  <c r="U197" i="9"/>
  <c r="U209" i="9"/>
  <c r="U221" i="9"/>
  <c r="T8" i="9"/>
  <c r="T116" i="9"/>
  <c r="T128" i="9"/>
  <c r="T140" i="9"/>
  <c r="T15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" i="9"/>
  <c r="S2" i="9" s="1"/>
  <c r="P226" i="9"/>
  <c r="T226" i="9" s="1"/>
  <c r="P225" i="9"/>
  <c r="S225" i="9" s="1"/>
  <c r="P224" i="9"/>
  <c r="S224" i="9" s="1"/>
  <c r="P223" i="9"/>
  <c r="P222" i="9"/>
  <c r="P221" i="9"/>
  <c r="T221" i="9" s="1"/>
  <c r="P220" i="9"/>
  <c r="T220" i="9" s="1"/>
  <c r="P219" i="9"/>
  <c r="U219" i="9" s="1"/>
  <c r="P218" i="9"/>
  <c r="U218" i="9" s="1"/>
  <c r="P217" i="9"/>
  <c r="P216" i="9"/>
  <c r="P215" i="9"/>
  <c r="S215" i="9" s="1"/>
  <c r="P214" i="9"/>
  <c r="T214" i="9" s="1"/>
  <c r="P213" i="9"/>
  <c r="S213" i="9" s="1"/>
  <c r="P212" i="9"/>
  <c r="S212" i="9" s="1"/>
  <c r="P211" i="9"/>
  <c r="P210" i="9"/>
  <c r="S210" i="9" s="1"/>
  <c r="P209" i="9"/>
  <c r="T209" i="9" s="1"/>
  <c r="P208" i="9"/>
  <c r="T208" i="9" s="1"/>
  <c r="P207" i="9"/>
  <c r="U207" i="9" s="1"/>
  <c r="P206" i="9"/>
  <c r="U206" i="9" s="1"/>
  <c r="P205" i="9"/>
  <c r="P204" i="9"/>
  <c r="P203" i="9"/>
  <c r="S203" i="9" s="1"/>
  <c r="P202" i="9"/>
  <c r="T202" i="9" s="1"/>
  <c r="P201" i="9"/>
  <c r="S201" i="9" s="1"/>
  <c r="P200" i="9"/>
  <c r="S200" i="9" s="1"/>
  <c r="P199" i="9"/>
  <c r="P198" i="9"/>
  <c r="S198" i="9" s="1"/>
  <c r="P197" i="9"/>
  <c r="T197" i="9" s="1"/>
  <c r="P196" i="9"/>
  <c r="T196" i="9" s="1"/>
  <c r="P195" i="9"/>
  <c r="U195" i="9" s="1"/>
  <c r="P194" i="9"/>
  <c r="U194" i="9" s="1"/>
  <c r="P193" i="9"/>
  <c r="P192" i="9"/>
  <c r="P191" i="9"/>
  <c r="S191" i="9" s="1"/>
  <c r="P190" i="9"/>
  <c r="T190" i="9" s="1"/>
  <c r="P189" i="9"/>
  <c r="S189" i="9" s="1"/>
  <c r="P188" i="9"/>
  <c r="S188" i="9" s="1"/>
  <c r="P187" i="9"/>
  <c r="S187" i="9" s="1"/>
  <c r="P186" i="9"/>
  <c r="S186" i="9" s="1"/>
  <c r="P185" i="9"/>
  <c r="T185" i="9" s="1"/>
  <c r="P184" i="9"/>
  <c r="T184" i="9" s="1"/>
  <c r="P183" i="9"/>
  <c r="U183" i="9" s="1"/>
  <c r="P182" i="9"/>
  <c r="U182" i="9" s="1"/>
  <c r="P181" i="9"/>
  <c r="P180" i="9"/>
  <c r="P179" i="9"/>
  <c r="S179" i="9" s="1"/>
  <c r="P178" i="9"/>
  <c r="T178" i="9" s="1"/>
  <c r="P177" i="9"/>
  <c r="S177" i="9" s="1"/>
  <c r="P176" i="9"/>
  <c r="S176" i="9" s="1"/>
  <c r="P175" i="9"/>
  <c r="S175" i="9" s="1"/>
  <c r="P174" i="9"/>
  <c r="S174" i="9" s="1"/>
  <c r="P173" i="9"/>
  <c r="T173" i="9" s="1"/>
  <c r="P172" i="9"/>
  <c r="T172" i="9" s="1"/>
  <c r="P171" i="9"/>
  <c r="U171" i="9" s="1"/>
  <c r="P170" i="9"/>
  <c r="U170" i="9" s="1"/>
  <c r="P169" i="9"/>
  <c r="P168" i="9"/>
  <c r="P167" i="9"/>
  <c r="S167" i="9" s="1"/>
  <c r="P166" i="9"/>
  <c r="T166" i="9" s="1"/>
  <c r="P165" i="9"/>
  <c r="S165" i="9" s="1"/>
  <c r="P164" i="9"/>
  <c r="S164" i="9" s="1"/>
  <c r="P163" i="9"/>
  <c r="S163" i="9" s="1"/>
  <c r="P162" i="9"/>
  <c r="S162" i="9" s="1"/>
  <c r="P161" i="9"/>
  <c r="T161" i="9" s="1"/>
  <c r="P160" i="9"/>
  <c r="T160" i="9" s="1"/>
  <c r="P159" i="9"/>
  <c r="U159" i="9" s="1"/>
  <c r="P158" i="9"/>
  <c r="U158" i="9" s="1"/>
  <c r="P157" i="9"/>
  <c r="P156" i="9"/>
  <c r="P155" i="9"/>
  <c r="S155" i="9" s="1"/>
  <c r="P154" i="9"/>
  <c r="T154" i="9" s="1"/>
  <c r="P153" i="9"/>
  <c r="S153" i="9" s="1"/>
  <c r="P152" i="9"/>
  <c r="S152" i="9" s="1"/>
  <c r="P151" i="9"/>
  <c r="S151" i="9" s="1"/>
  <c r="P150" i="9"/>
  <c r="S150" i="9" s="1"/>
  <c r="P149" i="9"/>
  <c r="T149" i="9" s="1"/>
  <c r="P148" i="9"/>
  <c r="T148" i="9" s="1"/>
  <c r="P147" i="9"/>
  <c r="U147" i="9" s="1"/>
  <c r="P146" i="9"/>
  <c r="U146" i="9" s="1"/>
  <c r="P145" i="9"/>
  <c r="P144" i="9"/>
  <c r="P143" i="9"/>
  <c r="S143" i="9" s="1"/>
  <c r="P142" i="9"/>
  <c r="T142" i="9" s="1"/>
  <c r="P141" i="9"/>
  <c r="S141" i="9" s="1"/>
  <c r="P140" i="9"/>
  <c r="S140" i="9" s="1"/>
  <c r="P139" i="9"/>
  <c r="S139" i="9" s="1"/>
  <c r="P138" i="9"/>
  <c r="S138" i="9" s="1"/>
  <c r="P137" i="9"/>
  <c r="T137" i="9" s="1"/>
  <c r="P136" i="9"/>
  <c r="T136" i="9" s="1"/>
  <c r="P135" i="9"/>
  <c r="U135" i="9" s="1"/>
  <c r="P134" i="9"/>
  <c r="U134" i="9" s="1"/>
  <c r="P133" i="9"/>
  <c r="P132" i="9"/>
  <c r="P131" i="9"/>
  <c r="S131" i="9" s="1"/>
  <c r="P130" i="9"/>
  <c r="T130" i="9" s="1"/>
  <c r="P129" i="9"/>
  <c r="S129" i="9" s="1"/>
  <c r="P128" i="9"/>
  <c r="S128" i="9" s="1"/>
  <c r="P127" i="9"/>
  <c r="S127" i="9" s="1"/>
  <c r="P126" i="9"/>
  <c r="S126" i="9" s="1"/>
  <c r="P125" i="9"/>
  <c r="T125" i="9" s="1"/>
  <c r="P124" i="9"/>
  <c r="T124" i="9" s="1"/>
  <c r="P123" i="9"/>
  <c r="U123" i="9" s="1"/>
  <c r="P122" i="9"/>
  <c r="U122" i="9" s="1"/>
  <c r="P121" i="9"/>
  <c r="P120" i="9"/>
  <c r="P119" i="9"/>
  <c r="S119" i="9" s="1"/>
  <c r="P118" i="9"/>
  <c r="T118" i="9" s="1"/>
  <c r="P117" i="9"/>
  <c r="S117" i="9" s="1"/>
  <c r="P116" i="9"/>
  <c r="S116" i="9" s="1"/>
  <c r="P115" i="9"/>
  <c r="S115" i="9" s="1"/>
  <c r="P114" i="9"/>
  <c r="S114" i="9" s="1"/>
  <c r="P113" i="9"/>
  <c r="T113" i="9" s="1"/>
  <c r="P112" i="9"/>
  <c r="T112" i="9" s="1"/>
  <c r="P111" i="9"/>
  <c r="U111" i="9" s="1"/>
  <c r="P110" i="9"/>
  <c r="U110" i="9" s="1"/>
  <c r="P109" i="9"/>
  <c r="P108" i="9"/>
  <c r="P107" i="9"/>
  <c r="S107" i="9" s="1"/>
  <c r="P106" i="9"/>
  <c r="T106" i="9" s="1"/>
  <c r="P105" i="9"/>
  <c r="S105" i="9" s="1"/>
  <c r="P104" i="9"/>
  <c r="S104" i="9" s="1"/>
  <c r="P103" i="9"/>
  <c r="S103" i="9" s="1"/>
  <c r="P102" i="9"/>
  <c r="S102" i="9" s="1"/>
  <c r="P101" i="9"/>
  <c r="T101" i="9" s="1"/>
  <c r="P100" i="9"/>
  <c r="T100" i="9" s="1"/>
  <c r="P99" i="9"/>
  <c r="U99" i="9" s="1"/>
  <c r="P98" i="9"/>
  <c r="U98" i="9" s="1"/>
  <c r="P97" i="9"/>
  <c r="P96" i="9"/>
  <c r="P95" i="9"/>
  <c r="S95" i="9" s="1"/>
  <c r="P94" i="9"/>
  <c r="T94" i="9" s="1"/>
  <c r="P93" i="9"/>
  <c r="S93" i="9" s="1"/>
  <c r="P92" i="9"/>
  <c r="S92" i="9" s="1"/>
  <c r="P91" i="9"/>
  <c r="S91" i="9" s="1"/>
  <c r="P90" i="9"/>
  <c r="S90" i="9" s="1"/>
  <c r="P89" i="9"/>
  <c r="T89" i="9" s="1"/>
  <c r="P88" i="9"/>
  <c r="T88" i="9" s="1"/>
  <c r="P87" i="9"/>
  <c r="U87" i="9" s="1"/>
  <c r="P86" i="9"/>
  <c r="U86" i="9" s="1"/>
  <c r="P85" i="9"/>
  <c r="P84" i="9"/>
  <c r="P83" i="9"/>
  <c r="S83" i="9" s="1"/>
  <c r="P82" i="9"/>
  <c r="T82" i="9" s="1"/>
  <c r="P81" i="9"/>
  <c r="S81" i="9" s="1"/>
  <c r="P80" i="9"/>
  <c r="S80" i="9" s="1"/>
  <c r="P79" i="9"/>
  <c r="S79" i="9" s="1"/>
  <c r="P78" i="9"/>
  <c r="S78" i="9" s="1"/>
  <c r="P77" i="9"/>
  <c r="T77" i="9" s="1"/>
  <c r="P76" i="9"/>
  <c r="T76" i="9" s="1"/>
  <c r="P75" i="9"/>
  <c r="U75" i="9" s="1"/>
  <c r="P74" i="9"/>
  <c r="U74" i="9" s="1"/>
  <c r="P73" i="9"/>
  <c r="P72" i="9"/>
  <c r="P71" i="9"/>
  <c r="S71" i="9" s="1"/>
  <c r="P70" i="9"/>
  <c r="T70" i="9" s="1"/>
  <c r="P69" i="9"/>
  <c r="S69" i="9" s="1"/>
  <c r="P68" i="9"/>
  <c r="S68" i="9" s="1"/>
  <c r="P67" i="9"/>
  <c r="S67" i="9" s="1"/>
  <c r="P66" i="9"/>
  <c r="S66" i="9" s="1"/>
  <c r="P65" i="9"/>
  <c r="T65" i="9" s="1"/>
  <c r="P64" i="9"/>
  <c r="T64" i="9" s="1"/>
  <c r="P63" i="9"/>
  <c r="U63" i="9" s="1"/>
  <c r="P62" i="9"/>
  <c r="U62" i="9" s="1"/>
  <c r="P61" i="9"/>
  <c r="P60" i="9"/>
  <c r="P59" i="9"/>
  <c r="S59" i="9" s="1"/>
  <c r="P58" i="9"/>
  <c r="T58" i="9" s="1"/>
  <c r="P57" i="9"/>
  <c r="S57" i="9" s="1"/>
  <c r="P56" i="9"/>
  <c r="S56" i="9" s="1"/>
  <c r="P55" i="9"/>
  <c r="S55" i="9" s="1"/>
  <c r="P54" i="9"/>
  <c r="S54" i="9" s="1"/>
  <c r="P53" i="9"/>
  <c r="T53" i="9" s="1"/>
  <c r="P52" i="9"/>
  <c r="T52" i="9" s="1"/>
  <c r="P51" i="9"/>
  <c r="U51" i="9" s="1"/>
  <c r="P50" i="9"/>
  <c r="U50" i="9" s="1"/>
  <c r="P49" i="9"/>
  <c r="P48" i="9"/>
  <c r="P47" i="9"/>
  <c r="S47" i="9" s="1"/>
  <c r="P46" i="9"/>
  <c r="T46" i="9" s="1"/>
  <c r="P45" i="9"/>
  <c r="S45" i="9" s="1"/>
  <c r="P44" i="9"/>
  <c r="S44" i="9" s="1"/>
  <c r="P43" i="9"/>
  <c r="S43" i="9" s="1"/>
  <c r="P42" i="9"/>
  <c r="S42" i="9" s="1"/>
  <c r="P41" i="9"/>
  <c r="T41" i="9" s="1"/>
  <c r="P40" i="9"/>
  <c r="T40" i="9" s="1"/>
  <c r="P39" i="9"/>
  <c r="U39" i="9" s="1"/>
  <c r="P38" i="9"/>
  <c r="U38" i="9" s="1"/>
  <c r="P37" i="9"/>
  <c r="P36" i="9"/>
  <c r="P35" i="9"/>
  <c r="S35" i="9" s="1"/>
  <c r="P34" i="9"/>
  <c r="T34" i="9" s="1"/>
  <c r="P33" i="9"/>
  <c r="S33" i="9" s="1"/>
  <c r="P32" i="9"/>
  <c r="S32" i="9" s="1"/>
  <c r="P31" i="9"/>
  <c r="S31" i="9" s="1"/>
  <c r="P30" i="9"/>
  <c r="S30" i="9" s="1"/>
  <c r="P29" i="9"/>
  <c r="T29" i="9" s="1"/>
  <c r="P28" i="9"/>
  <c r="T28" i="9" s="1"/>
  <c r="P27" i="9"/>
  <c r="U27" i="9" s="1"/>
  <c r="P26" i="9"/>
  <c r="U26" i="9" s="1"/>
  <c r="P25" i="9"/>
  <c r="P24" i="9"/>
  <c r="P23" i="9"/>
  <c r="S23" i="9" s="1"/>
  <c r="P22" i="9"/>
  <c r="T22" i="9" s="1"/>
  <c r="P21" i="9"/>
  <c r="S21" i="9" s="1"/>
  <c r="P20" i="9"/>
  <c r="S20" i="9" s="1"/>
  <c r="P19" i="9"/>
  <c r="S19" i="9" s="1"/>
  <c r="P18" i="9"/>
  <c r="S18" i="9" s="1"/>
  <c r="P17" i="9"/>
  <c r="T17" i="9" s="1"/>
  <c r="P16" i="9"/>
  <c r="T16" i="9" s="1"/>
  <c r="P15" i="9"/>
  <c r="U15" i="9" s="1"/>
  <c r="P14" i="9"/>
  <c r="U14" i="9" s="1"/>
  <c r="P13" i="9"/>
  <c r="P12" i="9"/>
  <c r="P11" i="9"/>
  <c r="S11" i="9" s="1"/>
  <c r="P10" i="9"/>
  <c r="T10" i="9" s="1"/>
  <c r="P9" i="9"/>
  <c r="S9" i="9" s="1"/>
  <c r="P8" i="9"/>
  <c r="S8" i="9" s="1"/>
  <c r="P7" i="9"/>
  <c r="S7" i="9" s="1"/>
  <c r="P6" i="9"/>
  <c r="S6" i="9" s="1"/>
  <c r="P5" i="9"/>
  <c r="T5" i="9" s="1"/>
  <c r="P4" i="9"/>
  <c r="T4" i="9" s="1"/>
  <c r="P3" i="9"/>
  <c r="U3" i="9" s="1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  <c r="G2" i="14" s="1"/>
  <c r="C228" i="10"/>
  <c r="J2" i="12"/>
  <c r="I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3" i="12"/>
  <c r="F4" i="12"/>
  <c r="F5" i="12"/>
  <c r="F6" i="12"/>
  <c r="F7" i="12"/>
  <c r="F8" i="12"/>
  <c r="F9" i="12"/>
  <c r="F10" i="12"/>
  <c r="F11" i="12"/>
  <c r="F12" i="12"/>
  <c r="F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" i="12"/>
  <c r="AD3" i="11"/>
  <c r="AC3" i="11" s="1"/>
  <c r="AD4" i="11"/>
  <c r="AC4" i="11" s="1"/>
  <c r="AD5" i="11"/>
  <c r="AC5" i="11" s="1"/>
  <c r="AD6" i="11"/>
  <c r="AC6" i="11" s="1"/>
  <c r="AD7" i="11"/>
  <c r="AC7" i="11" s="1"/>
  <c r="AD8" i="11"/>
  <c r="AC8" i="11" s="1"/>
  <c r="AD9" i="11"/>
  <c r="AC9" i="11" s="1"/>
  <c r="AD10" i="11"/>
  <c r="AC10" i="11" s="1"/>
  <c r="AD11" i="11"/>
  <c r="AC11" i="11" s="1"/>
  <c r="AD12" i="11"/>
  <c r="AC12" i="11" s="1"/>
  <c r="AD13" i="11"/>
  <c r="AC13" i="11" s="1"/>
  <c r="AD14" i="11"/>
  <c r="AC14" i="11" s="1"/>
  <c r="AD15" i="11"/>
  <c r="AC15" i="11" s="1"/>
  <c r="AD16" i="11"/>
  <c r="AC16" i="11" s="1"/>
  <c r="AD17" i="11"/>
  <c r="AC17" i="11" s="1"/>
  <c r="AD18" i="11"/>
  <c r="AC18" i="11" s="1"/>
  <c r="AD19" i="11"/>
  <c r="AC19" i="11" s="1"/>
  <c r="AD20" i="11"/>
  <c r="AC20" i="11" s="1"/>
  <c r="AD21" i="11"/>
  <c r="AC21" i="11" s="1"/>
  <c r="AD22" i="11"/>
  <c r="AC22" i="11" s="1"/>
  <c r="AD23" i="11"/>
  <c r="AC23" i="11" s="1"/>
  <c r="AD24" i="11"/>
  <c r="AC24" i="11" s="1"/>
  <c r="AD25" i="11"/>
  <c r="AC25" i="11" s="1"/>
  <c r="AD26" i="11"/>
  <c r="AC26" i="11" s="1"/>
  <c r="AD27" i="11"/>
  <c r="AC27" i="11" s="1"/>
  <c r="AD28" i="11"/>
  <c r="AC28" i="11" s="1"/>
  <c r="AD29" i="11"/>
  <c r="AC29" i="11" s="1"/>
  <c r="AD30" i="11"/>
  <c r="AC30" i="11" s="1"/>
  <c r="AD31" i="11"/>
  <c r="AC31" i="11" s="1"/>
  <c r="AD32" i="11"/>
  <c r="AC32" i="11" s="1"/>
  <c r="AD33" i="11"/>
  <c r="AC33" i="11" s="1"/>
  <c r="AD34" i="11"/>
  <c r="AC34" i="11" s="1"/>
  <c r="AD35" i="11"/>
  <c r="AC35" i="11" s="1"/>
  <c r="AD36" i="11"/>
  <c r="AC36" i="11" s="1"/>
  <c r="AD37" i="11"/>
  <c r="AC37" i="11" s="1"/>
  <c r="AD38" i="11"/>
  <c r="AC38" i="11" s="1"/>
  <c r="AD39" i="11"/>
  <c r="AC39" i="11" s="1"/>
  <c r="AD40" i="11"/>
  <c r="AC40" i="11" s="1"/>
  <c r="AD41" i="11"/>
  <c r="AC41" i="11" s="1"/>
  <c r="AD42" i="11"/>
  <c r="AC42" i="11" s="1"/>
  <c r="AD43" i="11"/>
  <c r="AC43" i="11" s="1"/>
  <c r="AD44" i="11"/>
  <c r="AC44" i="11" s="1"/>
  <c r="AD45" i="11"/>
  <c r="AC45" i="11" s="1"/>
  <c r="AD46" i="11"/>
  <c r="AC46" i="11" s="1"/>
  <c r="AD47" i="11"/>
  <c r="AC47" i="11" s="1"/>
  <c r="AD48" i="11"/>
  <c r="AC48" i="11" s="1"/>
  <c r="AD49" i="11"/>
  <c r="AC49" i="11" s="1"/>
  <c r="AD50" i="11"/>
  <c r="AC50" i="11" s="1"/>
  <c r="AD51" i="11"/>
  <c r="AC51" i="11" s="1"/>
  <c r="AD52" i="11"/>
  <c r="AC52" i="11" s="1"/>
  <c r="AD53" i="11"/>
  <c r="AC53" i="11" s="1"/>
  <c r="AD54" i="11"/>
  <c r="AC54" i="11" s="1"/>
  <c r="AD55" i="11"/>
  <c r="AC55" i="11" s="1"/>
  <c r="AD56" i="11"/>
  <c r="AC56" i="11" s="1"/>
  <c r="AD57" i="11"/>
  <c r="AC57" i="11" s="1"/>
  <c r="AD58" i="11"/>
  <c r="AC58" i="11" s="1"/>
  <c r="AD59" i="11"/>
  <c r="AC59" i="11" s="1"/>
  <c r="AD60" i="11"/>
  <c r="AC60" i="11" s="1"/>
  <c r="AD61" i="11"/>
  <c r="AC61" i="11" s="1"/>
  <c r="AD62" i="11"/>
  <c r="AC62" i="11" s="1"/>
  <c r="AD63" i="11"/>
  <c r="AC63" i="11" s="1"/>
  <c r="AD64" i="11"/>
  <c r="AC64" i="11" s="1"/>
  <c r="AD65" i="11"/>
  <c r="AC65" i="11" s="1"/>
  <c r="AD66" i="11"/>
  <c r="AC66" i="11" s="1"/>
  <c r="AD67" i="11"/>
  <c r="AC67" i="11" s="1"/>
  <c r="AD68" i="11"/>
  <c r="AC68" i="11" s="1"/>
  <c r="AD69" i="11"/>
  <c r="AC69" i="11" s="1"/>
  <c r="AD70" i="11"/>
  <c r="AC70" i="11" s="1"/>
  <c r="AD71" i="11"/>
  <c r="AC71" i="11" s="1"/>
  <c r="AD72" i="11"/>
  <c r="AC72" i="11" s="1"/>
  <c r="AD73" i="11"/>
  <c r="AC73" i="11" s="1"/>
  <c r="AD74" i="11"/>
  <c r="AC74" i="11" s="1"/>
  <c r="AD75" i="11"/>
  <c r="AC75" i="11" s="1"/>
  <c r="AD76" i="11"/>
  <c r="AC76" i="11" s="1"/>
  <c r="AD77" i="11"/>
  <c r="AC77" i="11" s="1"/>
  <c r="AD78" i="11"/>
  <c r="AC78" i="11" s="1"/>
  <c r="AD79" i="11"/>
  <c r="AC79" i="11" s="1"/>
  <c r="AD80" i="11"/>
  <c r="AC80" i="11" s="1"/>
  <c r="AD81" i="11"/>
  <c r="AC81" i="11" s="1"/>
  <c r="AD82" i="11"/>
  <c r="AC82" i="11" s="1"/>
  <c r="AD83" i="11"/>
  <c r="AC83" i="11" s="1"/>
  <c r="AD84" i="11"/>
  <c r="AC84" i="11" s="1"/>
  <c r="AD85" i="11"/>
  <c r="AC85" i="11" s="1"/>
  <c r="AD86" i="11"/>
  <c r="AC86" i="11" s="1"/>
  <c r="AD87" i="11"/>
  <c r="AC87" i="11" s="1"/>
  <c r="AD88" i="11"/>
  <c r="AC88" i="11" s="1"/>
  <c r="AD89" i="11"/>
  <c r="AC89" i="11" s="1"/>
  <c r="AD90" i="11"/>
  <c r="AC90" i="11" s="1"/>
  <c r="AD91" i="11"/>
  <c r="AC91" i="11" s="1"/>
  <c r="AD92" i="11"/>
  <c r="AC92" i="11" s="1"/>
  <c r="AD93" i="11"/>
  <c r="AC93" i="11" s="1"/>
  <c r="AD94" i="11"/>
  <c r="AC94" i="11" s="1"/>
  <c r="AD95" i="11"/>
  <c r="AC95" i="11" s="1"/>
  <c r="AD96" i="11"/>
  <c r="AC96" i="11" s="1"/>
  <c r="AD97" i="11"/>
  <c r="AC97" i="11" s="1"/>
  <c r="AD98" i="11"/>
  <c r="AC98" i="11" s="1"/>
  <c r="AD99" i="11"/>
  <c r="AC99" i="11" s="1"/>
  <c r="AD100" i="11"/>
  <c r="AC100" i="11" s="1"/>
  <c r="AD101" i="11"/>
  <c r="AC101" i="11" s="1"/>
  <c r="AD102" i="11"/>
  <c r="AC102" i="11" s="1"/>
  <c r="AD103" i="11"/>
  <c r="AC103" i="11" s="1"/>
  <c r="AD104" i="11"/>
  <c r="AC104" i="11" s="1"/>
  <c r="AD105" i="11"/>
  <c r="AC105" i="11" s="1"/>
  <c r="AD106" i="11"/>
  <c r="AC106" i="11" s="1"/>
  <c r="AD107" i="11"/>
  <c r="AC107" i="11" s="1"/>
  <c r="AD108" i="11"/>
  <c r="AC108" i="11" s="1"/>
  <c r="AD109" i="11"/>
  <c r="AC109" i="11" s="1"/>
  <c r="AD110" i="11"/>
  <c r="AC110" i="11" s="1"/>
  <c r="AD111" i="11"/>
  <c r="AC111" i="11" s="1"/>
  <c r="AD112" i="11"/>
  <c r="AC112" i="11" s="1"/>
  <c r="AD113" i="11"/>
  <c r="AC113" i="11" s="1"/>
  <c r="AD114" i="11"/>
  <c r="AC114" i="11" s="1"/>
  <c r="AD115" i="11"/>
  <c r="AC115" i="11" s="1"/>
  <c r="AD116" i="11"/>
  <c r="AC116" i="11" s="1"/>
  <c r="AD117" i="11"/>
  <c r="AC117" i="11" s="1"/>
  <c r="AD118" i="11"/>
  <c r="AC118" i="11" s="1"/>
  <c r="AD119" i="11"/>
  <c r="AC119" i="11" s="1"/>
  <c r="AD120" i="11"/>
  <c r="AC120" i="11" s="1"/>
  <c r="AD121" i="11"/>
  <c r="AC121" i="11" s="1"/>
  <c r="AD122" i="11"/>
  <c r="AC122" i="11" s="1"/>
  <c r="AD123" i="11"/>
  <c r="AC123" i="11" s="1"/>
  <c r="AD124" i="11"/>
  <c r="AC124" i="11" s="1"/>
  <c r="AD125" i="11"/>
  <c r="AC125" i="11" s="1"/>
  <c r="AD126" i="11"/>
  <c r="AC126" i="11" s="1"/>
  <c r="AD127" i="11"/>
  <c r="AC127" i="11" s="1"/>
  <c r="AD128" i="11"/>
  <c r="AC128" i="11" s="1"/>
  <c r="AD129" i="11"/>
  <c r="AC129" i="11" s="1"/>
  <c r="AD130" i="11"/>
  <c r="AC130" i="11" s="1"/>
  <c r="AD131" i="11"/>
  <c r="AC131" i="11" s="1"/>
  <c r="AD132" i="11"/>
  <c r="AC132" i="11" s="1"/>
  <c r="AD133" i="11"/>
  <c r="AC133" i="11" s="1"/>
  <c r="AD134" i="11"/>
  <c r="AC134" i="11" s="1"/>
  <c r="AD135" i="11"/>
  <c r="AC135" i="11" s="1"/>
  <c r="AD136" i="11"/>
  <c r="AC136" i="11" s="1"/>
  <c r="AD137" i="11"/>
  <c r="AC137" i="11" s="1"/>
  <c r="AD138" i="11"/>
  <c r="AC138" i="11" s="1"/>
  <c r="AD139" i="11"/>
  <c r="AC139" i="11" s="1"/>
  <c r="AD140" i="11"/>
  <c r="AC140" i="11" s="1"/>
  <c r="AD141" i="11"/>
  <c r="AC141" i="11" s="1"/>
  <c r="AD142" i="11"/>
  <c r="AC142" i="11" s="1"/>
  <c r="AD143" i="11"/>
  <c r="AC143" i="11" s="1"/>
  <c r="AD144" i="11"/>
  <c r="AC144" i="11" s="1"/>
  <c r="AD145" i="11"/>
  <c r="AC145" i="11" s="1"/>
  <c r="AD146" i="11"/>
  <c r="AC146" i="11" s="1"/>
  <c r="AD147" i="11"/>
  <c r="AC147" i="11" s="1"/>
  <c r="AD148" i="11"/>
  <c r="AC148" i="11" s="1"/>
  <c r="AD149" i="11"/>
  <c r="AC149" i="11" s="1"/>
  <c r="AD150" i="11"/>
  <c r="AC150" i="11" s="1"/>
  <c r="AD151" i="11"/>
  <c r="AC151" i="11" s="1"/>
  <c r="AD152" i="11"/>
  <c r="AC152" i="11" s="1"/>
  <c r="AD153" i="11"/>
  <c r="AC153" i="11" s="1"/>
  <c r="AD154" i="11"/>
  <c r="AC154" i="11" s="1"/>
  <c r="AD155" i="11"/>
  <c r="AC155" i="11" s="1"/>
  <c r="AD156" i="11"/>
  <c r="AC156" i="11" s="1"/>
  <c r="AD157" i="11"/>
  <c r="AC157" i="11" s="1"/>
  <c r="AD158" i="11"/>
  <c r="AC158" i="11" s="1"/>
  <c r="AD159" i="11"/>
  <c r="AC159" i="11" s="1"/>
  <c r="AD160" i="11"/>
  <c r="AC160" i="11" s="1"/>
  <c r="AD161" i="11"/>
  <c r="AC161" i="11" s="1"/>
  <c r="AD162" i="11"/>
  <c r="AC162" i="11" s="1"/>
  <c r="AD163" i="11"/>
  <c r="AC163" i="11" s="1"/>
  <c r="AD164" i="11"/>
  <c r="AC164" i="11" s="1"/>
  <c r="AD165" i="11"/>
  <c r="AC165" i="11" s="1"/>
  <c r="AD166" i="11"/>
  <c r="AC166" i="11" s="1"/>
  <c r="AD167" i="11"/>
  <c r="AC167" i="11" s="1"/>
  <c r="AD168" i="11"/>
  <c r="AC168" i="11" s="1"/>
  <c r="AD169" i="11"/>
  <c r="AC169" i="11" s="1"/>
  <c r="AD170" i="11"/>
  <c r="AC170" i="11" s="1"/>
  <c r="AD171" i="11"/>
  <c r="AC171" i="11" s="1"/>
  <c r="AD172" i="11"/>
  <c r="AC172" i="11" s="1"/>
  <c r="AD173" i="11"/>
  <c r="AC173" i="11" s="1"/>
  <c r="AD174" i="11"/>
  <c r="AC174" i="11" s="1"/>
  <c r="AD175" i="11"/>
  <c r="AC175" i="11" s="1"/>
  <c r="AD176" i="11"/>
  <c r="AC176" i="11" s="1"/>
  <c r="AD177" i="11"/>
  <c r="AC177" i="11" s="1"/>
  <c r="AD178" i="11"/>
  <c r="AC178" i="11" s="1"/>
  <c r="AD179" i="11"/>
  <c r="AC179" i="11" s="1"/>
  <c r="AD180" i="11"/>
  <c r="AC180" i="11" s="1"/>
  <c r="AD181" i="11"/>
  <c r="AC181" i="11" s="1"/>
  <c r="AD182" i="11"/>
  <c r="AC182" i="11" s="1"/>
  <c r="AD183" i="11"/>
  <c r="AC183" i="11" s="1"/>
  <c r="AD184" i="11"/>
  <c r="AC184" i="11" s="1"/>
  <c r="AD185" i="11"/>
  <c r="AC185" i="11" s="1"/>
  <c r="AD186" i="11"/>
  <c r="AC186" i="11" s="1"/>
  <c r="AD187" i="11"/>
  <c r="AC187" i="11" s="1"/>
  <c r="AD188" i="11"/>
  <c r="AC188" i="11" s="1"/>
  <c r="AD189" i="11"/>
  <c r="AC189" i="11" s="1"/>
  <c r="AD190" i="11"/>
  <c r="AC190" i="11" s="1"/>
  <c r="AD191" i="11"/>
  <c r="AC191" i="11" s="1"/>
  <c r="AD192" i="11"/>
  <c r="AC192" i="11" s="1"/>
  <c r="AD193" i="11"/>
  <c r="AC193" i="11" s="1"/>
  <c r="AD194" i="11"/>
  <c r="AC194" i="11" s="1"/>
  <c r="AD195" i="11"/>
  <c r="AC195" i="11" s="1"/>
  <c r="AD196" i="11"/>
  <c r="AC196" i="11" s="1"/>
  <c r="AD197" i="11"/>
  <c r="AC197" i="11" s="1"/>
  <c r="AD198" i="11"/>
  <c r="AC198" i="11" s="1"/>
  <c r="AD199" i="11"/>
  <c r="AC199" i="11" s="1"/>
  <c r="AD200" i="11"/>
  <c r="AC200" i="11" s="1"/>
  <c r="AD201" i="11"/>
  <c r="AC201" i="11" s="1"/>
  <c r="AD202" i="11"/>
  <c r="AC202" i="11" s="1"/>
  <c r="AD203" i="11"/>
  <c r="AC203" i="11" s="1"/>
  <c r="AD204" i="11"/>
  <c r="AC204" i="11" s="1"/>
  <c r="AD205" i="11"/>
  <c r="AC205" i="11" s="1"/>
  <c r="AD206" i="11"/>
  <c r="AC206" i="11" s="1"/>
  <c r="AD207" i="11"/>
  <c r="AC207" i="11" s="1"/>
  <c r="AD208" i="11"/>
  <c r="AC208" i="11" s="1"/>
  <c r="AD209" i="11"/>
  <c r="AC209" i="11" s="1"/>
  <c r="AD210" i="11"/>
  <c r="AC210" i="11" s="1"/>
  <c r="AD211" i="11"/>
  <c r="AC211" i="11" s="1"/>
  <c r="AD212" i="11"/>
  <c r="AC212" i="11" s="1"/>
  <c r="AD213" i="11"/>
  <c r="AC213" i="11" s="1"/>
  <c r="AD214" i="11"/>
  <c r="AC214" i="11" s="1"/>
  <c r="AD215" i="11"/>
  <c r="AC215" i="11" s="1"/>
  <c r="AD216" i="11"/>
  <c r="AC216" i="11" s="1"/>
  <c r="AD217" i="11"/>
  <c r="AC217" i="11" s="1"/>
  <c r="AD218" i="11"/>
  <c r="AC218" i="11" s="1"/>
  <c r="AD219" i="11"/>
  <c r="AC219" i="11" s="1"/>
  <c r="AD220" i="11"/>
  <c r="AC220" i="11" s="1"/>
  <c r="AD221" i="11"/>
  <c r="AC221" i="11" s="1"/>
  <c r="AD222" i="11"/>
  <c r="AC222" i="11" s="1"/>
  <c r="AD223" i="11"/>
  <c r="AC223" i="11" s="1"/>
  <c r="AD224" i="11"/>
  <c r="AC224" i="11" s="1"/>
  <c r="AD225" i="11"/>
  <c r="AC225" i="11" s="1"/>
  <c r="AD226" i="11"/>
  <c r="AC226" i="11" s="1"/>
  <c r="AD2" i="11"/>
  <c r="AC2" i="11" s="1"/>
  <c r="AB3" i="11"/>
  <c r="AA3" i="11" s="1"/>
  <c r="AB4" i="11"/>
  <c r="AA4" i="11" s="1"/>
  <c r="AB5" i="11"/>
  <c r="AA5" i="11" s="1"/>
  <c r="AB6" i="11"/>
  <c r="AA6" i="11" s="1"/>
  <c r="AB7" i="11"/>
  <c r="AA7" i="11" s="1"/>
  <c r="AB8" i="11"/>
  <c r="AA8" i="11" s="1"/>
  <c r="AB9" i="11"/>
  <c r="AA9" i="11" s="1"/>
  <c r="AB10" i="11"/>
  <c r="AA10" i="11" s="1"/>
  <c r="AB11" i="11"/>
  <c r="AA11" i="11" s="1"/>
  <c r="AB12" i="11"/>
  <c r="AA12" i="11" s="1"/>
  <c r="AB13" i="11"/>
  <c r="AA13" i="11" s="1"/>
  <c r="AB14" i="11"/>
  <c r="AA14" i="11" s="1"/>
  <c r="AB15" i="11"/>
  <c r="AA15" i="11" s="1"/>
  <c r="AB16" i="11"/>
  <c r="AA16" i="11" s="1"/>
  <c r="AB17" i="11"/>
  <c r="AA17" i="11" s="1"/>
  <c r="AB18" i="11"/>
  <c r="AA18" i="11" s="1"/>
  <c r="AB19" i="11"/>
  <c r="AA19" i="11" s="1"/>
  <c r="AB20" i="11"/>
  <c r="AA20" i="11" s="1"/>
  <c r="AB21" i="11"/>
  <c r="AA21" i="11" s="1"/>
  <c r="AB22" i="11"/>
  <c r="AA22" i="11" s="1"/>
  <c r="AB23" i="11"/>
  <c r="AA23" i="11" s="1"/>
  <c r="AB24" i="11"/>
  <c r="AA24" i="11" s="1"/>
  <c r="AB25" i="11"/>
  <c r="AA25" i="11" s="1"/>
  <c r="AB26" i="11"/>
  <c r="AA26" i="11" s="1"/>
  <c r="AB27" i="11"/>
  <c r="AA27" i="11" s="1"/>
  <c r="AB28" i="11"/>
  <c r="AA28" i="11" s="1"/>
  <c r="AB29" i="11"/>
  <c r="AA29" i="11" s="1"/>
  <c r="AB30" i="11"/>
  <c r="AA30" i="11" s="1"/>
  <c r="AB31" i="11"/>
  <c r="AA31" i="11" s="1"/>
  <c r="AB32" i="11"/>
  <c r="AA32" i="11" s="1"/>
  <c r="AB33" i="11"/>
  <c r="AA33" i="11" s="1"/>
  <c r="AB34" i="11"/>
  <c r="AA34" i="11" s="1"/>
  <c r="AB35" i="11"/>
  <c r="AA35" i="11" s="1"/>
  <c r="AB36" i="11"/>
  <c r="AA36" i="11" s="1"/>
  <c r="AB37" i="11"/>
  <c r="AA37" i="11" s="1"/>
  <c r="AB38" i="11"/>
  <c r="AA38" i="11" s="1"/>
  <c r="AB39" i="11"/>
  <c r="AA39" i="11" s="1"/>
  <c r="AB40" i="11"/>
  <c r="AA40" i="11" s="1"/>
  <c r="AB41" i="11"/>
  <c r="AA41" i="11" s="1"/>
  <c r="AB42" i="11"/>
  <c r="AA42" i="11" s="1"/>
  <c r="AB43" i="11"/>
  <c r="AA43" i="11" s="1"/>
  <c r="AB44" i="11"/>
  <c r="AA44" i="11" s="1"/>
  <c r="AB45" i="11"/>
  <c r="AA45" i="11" s="1"/>
  <c r="AB46" i="11"/>
  <c r="AA46" i="11" s="1"/>
  <c r="AB47" i="11"/>
  <c r="AA47" i="11" s="1"/>
  <c r="AB48" i="11"/>
  <c r="AA48" i="11" s="1"/>
  <c r="AB49" i="11"/>
  <c r="AA49" i="11" s="1"/>
  <c r="AB50" i="11"/>
  <c r="AA50" i="11" s="1"/>
  <c r="AB51" i="11"/>
  <c r="AA51" i="11" s="1"/>
  <c r="AB52" i="11"/>
  <c r="AA52" i="11" s="1"/>
  <c r="AB53" i="11"/>
  <c r="AA53" i="11" s="1"/>
  <c r="AB54" i="11"/>
  <c r="AA54" i="11" s="1"/>
  <c r="AB55" i="11"/>
  <c r="AA55" i="11" s="1"/>
  <c r="AB56" i="11"/>
  <c r="AA56" i="11" s="1"/>
  <c r="AB57" i="11"/>
  <c r="AA57" i="11" s="1"/>
  <c r="AB58" i="11"/>
  <c r="AA58" i="11" s="1"/>
  <c r="AB59" i="11"/>
  <c r="AA59" i="11" s="1"/>
  <c r="AB60" i="11"/>
  <c r="AA60" i="11" s="1"/>
  <c r="AB61" i="11"/>
  <c r="AA61" i="11" s="1"/>
  <c r="AB62" i="11"/>
  <c r="AA62" i="11" s="1"/>
  <c r="AB63" i="11"/>
  <c r="AA63" i="11" s="1"/>
  <c r="AB64" i="11"/>
  <c r="AA64" i="11" s="1"/>
  <c r="AB65" i="11"/>
  <c r="AA65" i="11" s="1"/>
  <c r="AB66" i="11"/>
  <c r="AA66" i="11" s="1"/>
  <c r="AB67" i="11"/>
  <c r="AA67" i="11" s="1"/>
  <c r="AB68" i="11"/>
  <c r="AA68" i="11" s="1"/>
  <c r="AB69" i="11"/>
  <c r="AA69" i="11" s="1"/>
  <c r="AB70" i="11"/>
  <c r="AA70" i="11" s="1"/>
  <c r="AB71" i="11"/>
  <c r="AA71" i="11" s="1"/>
  <c r="AB72" i="11"/>
  <c r="AA72" i="11" s="1"/>
  <c r="AB73" i="11"/>
  <c r="AA73" i="11" s="1"/>
  <c r="AB74" i="11"/>
  <c r="AA74" i="11" s="1"/>
  <c r="AB75" i="11"/>
  <c r="AA75" i="11" s="1"/>
  <c r="AB76" i="11"/>
  <c r="AA76" i="11" s="1"/>
  <c r="AB77" i="11"/>
  <c r="AA77" i="11" s="1"/>
  <c r="AB78" i="11"/>
  <c r="AA78" i="11" s="1"/>
  <c r="AB79" i="11"/>
  <c r="AA79" i="11" s="1"/>
  <c r="AB80" i="11"/>
  <c r="AA80" i="11" s="1"/>
  <c r="AB81" i="11"/>
  <c r="AA81" i="11" s="1"/>
  <c r="AB82" i="11"/>
  <c r="AA82" i="11" s="1"/>
  <c r="AB83" i="11"/>
  <c r="AA83" i="11" s="1"/>
  <c r="AB84" i="11"/>
  <c r="AA84" i="11" s="1"/>
  <c r="AB85" i="11"/>
  <c r="AA85" i="11" s="1"/>
  <c r="AB86" i="11"/>
  <c r="AA86" i="11" s="1"/>
  <c r="AB87" i="11"/>
  <c r="AA87" i="11" s="1"/>
  <c r="AB88" i="11"/>
  <c r="AA88" i="11" s="1"/>
  <c r="AB89" i="11"/>
  <c r="AA89" i="11" s="1"/>
  <c r="AB90" i="11"/>
  <c r="AA90" i="11" s="1"/>
  <c r="AB91" i="11"/>
  <c r="AA91" i="11" s="1"/>
  <c r="AB92" i="11"/>
  <c r="AA92" i="11" s="1"/>
  <c r="AB93" i="11"/>
  <c r="AA93" i="11" s="1"/>
  <c r="AB94" i="11"/>
  <c r="AA94" i="11" s="1"/>
  <c r="AB95" i="11"/>
  <c r="AA95" i="11" s="1"/>
  <c r="AB96" i="11"/>
  <c r="AA96" i="11" s="1"/>
  <c r="AB97" i="11"/>
  <c r="AA97" i="11" s="1"/>
  <c r="AB98" i="11"/>
  <c r="AA98" i="11" s="1"/>
  <c r="AB99" i="11"/>
  <c r="AA99" i="11" s="1"/>
  <c r="AB100" i="11"/>
  <c r="AA100" i="11" s="1"/>
  <c r="AB101" i="11"/>
  <c r="AA101" i="11" s="1"/>
  <c r="AB102" i="11"/>
  <c r="AA102" i="11" s="1"/>
  <c r="AB103" i="11"/>
  <c r="AA103" i="11" s="1"/>
  <c r="AB104" i="11"/>
  <c r="AA104" i="11" s="1"/>
  <c r="AB105" i="11"/>
  <c r="AA105" i="11" s="1"/>
  <c r="AB106" i="11"/>
  <c r="AA106" i="11" s="1"/>
  <c r="AB107" i="11"/>
  <c r="AA107" i="11" s="1"/>
  <c r="AB108" i="11"/>
  <c r="AA108" i="11" s="1"/>
  <c r="AB109" i="11"/>
  <c r="AA109" i="11" s="1"/>
  <c r="AB110" i="11"/>
  <c r="AA110" i="11" s="1"/>
  <c r="AB111" i="11"/>
  <c r="AA111" i="11" s="1"/>
  <c r="AB112" i="11"/>
  <c r="AA112" i="11" s="1"/>
  <c r="AB113" i="11"/>
  <c r="AA113" i="11" s="1"/>
  <c r="AB114" i="11"/>
  <c r="AA114" i="11" s="1"/>
  <c r="AB115" i="11"/>
  <c r="AA115" i="11" s="1"/>
  <c r="AB116" i="11"/>
  <c r="AA116" i="11" s="1"/>
  <c r="AB117" i="11"/>
  <c r="AA117" i="11" s="1"/>
  <c r="AB118" i="11"/>
  <c r="AA118" i="11" s="1"/>
  <c r="AB119" i="11"/>
  <c r="AA119" i="11" s="1"/>
  <c r="AB120" i="11"/>
  <c r="AA120" i="11" s="1"/>
  <c r="AB121" i="11"/>
  <c r="AA121" i="11" s="1"/>
  <c r="AB122" i="11"/>
  <c r="AA122" i="11" s="1"/>
  <c r="AB123" i="11"/>
  <c r="AA123" i="11" s="1"/>
  <c r="AB124" i="11"/>
  <c r="AA124" i="11" s="1"/>
  <c r="AB125" i="11"/>
  <c r="AA125" i="11" s="1"/>
  <c r="AB126" i="11"/>
  <c r="AA126" i="11" s="1"/>
  <c r="AB127" i="11"/>
  <c r="AA127" i="11" s="1"/>
  <c r="AB128" i="11"/>
  <c r="AA128" i="11" s="1"/>
  <c r="AB129" i="11"/>
  <c r="AA129" i="11" s="1"/>
  <c r="AB130" i="11"/>
  <c r="AA130" i="11" s="1"/>
  <c r="AB131" i="11"/>
  <c r="AA131" i="11" s="1"/>
  <c r="AB132" i="11"/>
  <c r="AA132" i="11" s="1"/>
  <c r="AB133" i="11"/>
  <c r="AA133" i="11" s="1"/>
  <c r="AB134" i="11"/>
  <c r="AA134" i="11" s="1"/>
  <c r="AB135" i="11"/>
  <c r="AA135" i="11" s="1"/>
  <c r="AB136" i="11"/>
  <c r="AA136" i="11" s="1"/>
  <c r="AB137" i="11"/>
  <c r="AA137" i="11" s="1"/>
  <c r="AB138" i="11"/>
  <c r="AA138" i="11" s="1"/>
  <c r="AB139" i="11"/>
  <c r="AA139" i="11" s="1"/>
  <c r="AB140" i="11"/>
  <c r="AA140" i="11" s="1"/>
  <c r="AB141" i="11"/>
  <c r="AA141" i="11" s="1"/>
  <c r="AB142" i="11"/>
  <c r="AA142" i="11" s="1"/>
  <c r="AB143" i="11"/>
  <c r="AA143" i="11" s="1"/>
  <c r="AB144" i="11"/>
  <c r="AA144" i="11" s="1"/>
  <c r="AB145" i="11"/>
  <c r="AA145" i="11" s="1"/>
  <c r="AB146" i="11"/>
  <c r="AA146" i="11" s="1"/>
  <c r="AB147" i="11"/>
  <c r="AA147" i="11" s="1"/>
  <c r="AB148" i="11"/>
  <c r="AA148" i="11" s="1"/>
  <c r="AB149" i="11"/>
  <c r="AA149" i="11" s="1"/>
  <c r="AB150" i="11"/>
  <c r="AA150" i="11" s="1"/>
  <c r="AB151" i="11"/>
  <c r="AA151" i="11" s="1"/>
  <c r="AB152" i="11"/>
  <c r="AA152" i="11" s="1"/>
  <c r="AB153" i="11"/>
  <c r="AA153" i="11" s="1"/>
  <c r="AB154" i="11"/>
  <c r="AA154" i="11" s="1"/>
  <c r="AB155" i="11"/>
  <c r="AA155" i="11" s="1"/>
  <c r="AB156" i="11"/>
  <c r="AA156" i="11" s="1"/>
  <c r="AB157" i="11"/>
  <c r="AA157" i="11" s="1"/>
  <c r="AB158" i="11"/>
  <c r="AA158" i="11" s="1"/>
  <c r="AB159" i="11"/>
  <c r="AA159" i="11" s="1"/>
  <c r="AB160" i="11"/>
  <c r="AA160" i="11" s="1"/>
  <c r="AB161" i="11"/>
  <c r="AA161" i="11" s="1"/>
  <c r="AB162" i="11"/>
  <c r="AA162" i="11" s="1"/>
  <c r="AB163" i="11"/>
  <c r="AA163" i="11" s="1"/>
  <c r="AB164" i="11"/>
  <c r="AA164" i="11" s="1"/>
  <c r="AB165" i="11"/>
  <c r="AA165" i="11" s="1"/>
  <c r="AB166" i="11"/>
  <c r="AA166" i="11" s="1"/>
  <c r="AB167" i="11"/>
  <c r="AA167" i="11" s="1"/>
  <c r="AB168" i="11"/>
  <c r="AA168" i="11" s="1"/>
  <c r="AB169" i="11"/>
  <c r="AA169" i="11" s="1"/>
  <c r="AB170" i="11"/>
  <c r="AA170" i="11" s="1"/>
  <c r="AB171" i="11"/>
  <c r="AA171" i="11" s="1"/>
  <c r="AB172" i="11"/>
  <c r="AA172" i="11" s="1"/>
  <c r="AB173" i="11"/>
  <c r="AA173" i="11" s="1"/>
  <c r="AB174" i="11"/>
  <c r="AA174" i="11" s="1"/>
  <c r="AB175" i="11"/>
  <c r="AA175" i="11" s="1"/>
  <c r="AB176" i="11"/>
  <c r="AA176" i="11" s="1"/>
  <c r="AB177" i="11"/>
  <c r="AA177" i="11" s="1"/>
  <c r="AB178" i="11"/>
  <c r="AA178" i="11" s="1"/>
  <c r="AB179" i="11"/>
  <c r="AA179" i="11" s="1"/>
  <c r="AB180" i="11"/>
  <c r="AA180" i="11" s="1"/>
  <c r="AB181" i="11"/>
  <c r="AA181" i="11" s="1"/>
  <c r="AB182" i="11"/>
  <c r="AA182" i="11" s="1"/>
  <c r="AB183" i="11"/>
  <c r="AA183" i="11" s="1"/>
  <c r="AB184" i="11"/>
  <c r="AA184" i="11" s="1"/>
  <c r="AB185" i="11"/>
  <c r="AA185" i="11" s="1"/>
  <c r="AB186" i="11"/>
  <c r="AA186" i="11" s="1"/>
  <c r="AB187" i="11"/>
  <c r="AA187" i="11" s="1"/>
  <c r="AB188" i="11"/>
  <c r="AA188" i="11" s="1"/>
  <c r="AB189" i="11"/>
  <c r="AA189" i="11" s="1"/>
  <c r="AB190" i="11"/>
  <c r="AA190" i="11" s="1"/>
  <c r="AB191" i="11"/>
  <c r="AA191" i="11" s="1"/>
  <c r="AB192" i="11"/>
  <c r="AA192" i="11" s="1"/>
  <c r="AB193" i="11"/>
  <c r="AA193" i="11" s="1"/>
  <c r="AB194" i="11"/>
  <c r="AA194" i="11" s="1"/>
  <c r="AB195" i="11"/>
  <c r="AA195" i="11" s="1"/>
  <c r="AB196" i="11"/>
  <c r="AA196" i="11" s="1"/>
  <c r="AB197" i="11"/>
  <c r="AA197" i="11" s="1"/>
  <c r="AB198" i="11"/>
  <c r="AA198" i="11" s="1"/>
  <c r="AB199" i="11"/>
  <c r="AA199" i="11" s="1"/>
  <c r="AB200" i="11"/>
  <c r="AA200" i="11" s="1"/>
  <c r="AB201" i="11"/>
  <c r="AA201" i="11" s="1"/>
  <c r="AB202" i="11"/>
  <c r="AA202" i="11" s="1"/>
  <c r="AB203" i="11"/>
  <c r="AA203" i="11" s="1"/>
  <c r="AB204" i="11"/>
  <c r="AA204" i="11" s="1"/>
  <c r="AB205" i="11"/>
  <c r="AA205" i="11" s="1"/>
  <c r="AB206" i="11"/>
  <c r="AA206" i="11" s="1"/>
  <c r="AB207" i="11"/>
  <c r="AA207" i="11" s="1"/>
  <c r="AB208" i="11"/>
  <c r="AA208" i="11" s="1"/>
  <c r="AB209" i="11"/>
  <c r="AA209" i="11" s="1"/>
  <c r="AB210" i="11"/>
  <c r="AA210" i="11" s="1"/>
  <c r="AB211" i="11"/>
  <c r="AA211" i="11" s="1"/>
  <c r="AB212" i="11"/>
  <c r="AA212" i="11" s="1"/>
  <c r="AB213" i="11"/>
  <c r="AA213" i="11" s="1"/>
  <c r="AB214" i="11"/>
  <c r="AA214" i="11" s="1"/>
  <c r="AB215" i="11"/>
  <c r="AA215" i="11" s="1"/>
  <c r="AB216" i="11"/>
  <c r="AA216" i="11" s="1"/>
  <c r="AB217" i="11"/>
  <c r="AA217" i="11" s="1"/>
  <c r="AB218" i="11"/>
  <c r="AA218" i="11" s="1"/>
  <c r="AB219" i="11"/>
  <c r="AA219" i="11" s="1"/>
  <c r="AB220" i="11"/>
  <c r="AA220" i="11" s="1"/>
  <c r="AB221" i="11"/>
  <c r="AA221" i="11" s="1"/>
  <c r="AB222" i="11"/>
  <c r="AA222" i="11" s="1"/>
  <c r="AB223" i="11"/>
  <c r="AA223" i="11" s="1"/>
  <c r="AB224" i="11"/>
  <c r="AA224" i="11" s="1"/>
  <c r="AB225" i="11"/>
  <c r="AA225" i="11" s="1"/>
  <c r="AB226" i="11"/>
  <c r="AA226" i="11" s="1"/>
  <c r="AB2" i="11"/>
  <c r="AA2" i="11" s="1"/>
  <c r="T227" i="11"/>
  <c r="U227" i="11"/>
  <c r="V227" i="11"/>
  <c r="W227" i="11"/>
  <c r="X227" i="11"/>
  <c r="Y227" i="11"/>
  <c r="Z227" i="11"/>
  <c r="S227" i="11"/>
  <c r="I227" i="11"/>
  <c r="J227" i="11"/>
  <c r="K227" i="11"/>
  <c r="L227" i="11"/>
  <c r="M227" i="11"/>
  <c r="N227" i="11"/>
  <c r="O227" i="11"/>
  <c r="P227" i="11"/>
  <c r="Q227" i="11"/>
  <c r="E227" i="11"/>
  <c r="F227" i="11"/>
  <c r="G227" i="11"/>
  <c r="H227" i="11"/>
  <c r="D227" i="1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" i="10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H510" i="9"/>
  <c r="H511" i="9"/>
  <c r="H512" i="9"/>
  <c r="H513" i="9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H538" i="9"/>
  <c r="H539" i="9"/>
  <c r="H540" i="9"/>
  <c r="H541" i="9"/>
  <c r="H542" i="9"/>
  <c r="H543" i="9"/>
  <c r="H544" i="9"/>
  <c r="H545" i="9"/>
  <c r="H546" i="9"/>
  <c r="H547" i="9"/>
  <c r="H548" i="9"/>
  <c r="H549" i="9"/>
  <c r="H550" i="9"/>
  <c r="H551" i="9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H577" i="9"/>
  <c r="H578" i="9"/>
  <c r="H579" i="9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H596" i="9"/>
  <c r="H597" i="9"/>
  <c r="H598" i="9"/>
  <c r="H599" i="9"/>
  <c r="H600" i="9"/>
  <c r="H601" i="9"/>
  <c r="H602" i="9"/>
  <c r="H603" i="9"/>
  <c r="H604" i="9"/>
  <c r="H605" i="9"/>
  <c r="H606" i="9"/>
  <c r="H607" i="9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H625" i="9"/>
  <c r="H626" i="9"/>
  <c r="H627" i="9"/>
  <c r="H628" i="9"/>
  <c r="H629" i="9"/>
  <c r="H630" i="9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H644" i="9"/>
  <c r="H645" i="9"/>
  <c r="H646" i="9"/>
  <c r="H647" i="9"/>
  <c r="H648" i="9"/>
  <c r="H649" i="9"/>
  <c r="H650" i="9"/>
  <c r="H651" i="9"/>
  <c r="H652" i="9"/>
  <c r="H653" i="9"/>
  <c r="H654" i="9"/>
  <c r="H655" i="9"/>
  <c r="H656" i="9"/>
  <c r="H657" i="9"/>
  <c r="H658" i="9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H688" i="9"/>
  <c r="H689" i="9"/>
  <c r="H690" i="9"/>
  <c r="H691" i="9"/>
  <c r="H692" i="9"/>
  <c r="H693" i="9"/>
  <c r="H694" i="9"/>
  <c r="H695" i="9"/>
  <c r="H696" i="9"/>
  <c r="H697" i="9"/>
  <c r="H698" i="9"/>
  <c r="H699" i="9"/>
  <c r="H700" i="9"/>
  <c r="H701" i="9"/>
  <c r="H702" i="9"/>
  <c r="H703" i="9"/>
  <c r="H704" i="9"/>
  <c r="H705" i="9"/>
  <c r="H706" i="9"/>
  <c r="H707" i="9"/>
  <c r="H708" i="9"/>
  <c r="H709" i="9"/>
  <c r="H710" i="9"/>
  <c r="H711" i="9"/>
  <c r="H712" i="9"/>
  <c r="H713" i="9"/>
  <c r="H714" i="9"/>
  <c r="H715" i="9"/>
  <c r="H716" i="9"/>
  <c r="H717" i="9"/>
  <c r="H718" i="9"/>
  <c r="H719" i="9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H784" i="9"/>
  <c r="H785" i="9"/>
  <c r="H3" i="9"/>
  <c r="H4" i="9"/>
  <c r="H5" i="9"/>
  <c r="H6" i="9"/>
  <c r="H7" i="9"/>
  <c r="H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3" i="9"/>
  <c r="C4" i="9"/>
  <c r="C5" i="9"/>
  <c r="C6" i="9"/>
  <c r="C7" i="9"/>
  <c r="C8" i="9"/>
  <c r="C9" i="9"/>
  <c r="C10" i="9"/>
  <c r="C11" i="9"/>
  <c r="C12" i="9"/>
  <c r="C2" i="9"/>
  <c r="AL2" i="1"/>
  <c r="AK2" i="1"/>
  <c r="AJ2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3" i="1"/>
  <c r="AI4" i="1"/>
  <c r="AI5" i="1"/>
  <c r="AI2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3" i="1"/>
  <c r="AH4" i="1"/>
  <c r="AH5" i="1"/>
  <c r="AH2" i="1"/>
  <c r="AF2" i="1"/>
  <c r="S214" i="9" l="1"/>
  <c r="S70" i="9"/>
  <c r="S202" i="9"/>
  <c r="S58" i="9"/>
  <c r="K5" i="9"/>
  <c r="L5" i="9" s="1"/>
  <c r="S190" i="9"/>
  <c r="S46" i="9"/>
  <c r="S12" i="9"/>
  <c r="S24" i="9"/>
  <c r="S36" i="9"/>
  <c r="S48" i="9"/>
  <c r="S60" i="9"/>
  <c r="S72" i="9"/>
  <c r="S84" i="9"/>
  <c r="S96" i="9"/>
  <c r="S108" i="9"/>
  <c r="S120" i="9"/>
  <c r="S132" i="9"/>
  <c r="S144" i="9"/>
  <c r="S156" i="9"/>
  <c r="S168" i="9"/>
  <c r="S180" i="9"/>
  <c r="S192" i="9"/>
  <c r="S204" i="9"/>
  <c r="S216" i="9"/>
  <c r="S178" i="9"/>
  <c r="S34" i="9"/>
  <c r="U13" i="9"/>
  <c r="U25" i="9"/>
  <c r="U37" i="9"/>
  <c r="U49" i="9"/>
  <c r="U61" i="9"/>
  <c r="U73" i="9"/>
  <c r="U85" i="9"/>
  <c r="U97" i="9"/>
  <c r="U109" i="9"/>
  <c r="U121" i="9"/>
  <c r="U133" i="9"/>
  <c r="U145" i="9"/>
  <c r="U157" i="9"/>
  <c r="U169" i="9"/>
  <c r="U181" i="9"/>
  <c r="U193" i="9"/>
  <c r="U205" i="9"/>
  <c r="U217" i="9"/>
  <c r="S166" i="9"/>
  <c r="S22" i="9"/>
  <c r="T104" i="9"/>
  <c r="U185" i="9"/>
  <c r="L2" i="9"/>
  <c r="K2" i="9" s="1"/>
  <c r="S154" i="9"/>
  <c r="S10" i="9"/>
  <c r="T92" i="9"/>
  <c r="U173" i="9"/>
  <c r="S142" i="9"/>
  <c r="T224" i="9"/>
  <c r="T80" i="9"/>
  <c r="U161" i="9"/>
  <c r="S130" i="9"/>
  <c r="T212" i="9"/>
  <c r="T68" i="9"/>
  <c r="U149" i="9"/>
  <c r="S118" i="9"/>
  <c r="T200" i="9"/>
  <c r="T56" i="9"/>
  <c r="U137" i="9"/>
  <c r="S222" i="9"/>
  <c r="S106" i="9"/>
  <c r="T188" i="9"/>
  <c r="T44" i="9"/>
  <c r="U125" i="9"/>
  <c r="S199" i="9"/>
  <c r="S211" i="9"/>
  <c r="S223" i="9"/>
  <c r="S94" i="9"/>
  <c r="T176" i="9"/>
  <c r="T32" i="9"/>
  <c r="S226" i="9"/>
  <c r="S82" i="9"/>
  <c r="T164" i="9"/>
  <c r="T20" i="9"/>
  <c r="S221" i="9"/>
  <c r="S209" i="9"/>
  <c r="S197" i="9"/>
  <c r="S185" i="9"/>
  <c r="S173" i="9"/>
  <c r="S161" i="9"/>
  <c r="S149" i="9"/>
  <c r="S137" i="9"/>
  <c r="S125" i="9"/>
  <c r="S113" i="9"/>
  <c r="S101" i="9"/>
  <c r="S89" i="9"/>
  <c r="S77" i="9"/>
  <c r="S65" i="9"/>
  <c r="S53" i="9"/>
  <c r="S41" i="9"/>
  <c r="S29" i="9"/>
  <c r="S17" i="9"/>
  <c r="S5" i="9"/>
  <c r="T219" i="9"/>
  <c r="T207" i="9"/>
  <c r="T195" i="9"/>
  <c r="T183" i="9"/>
  <c r="T171" i="9"/>
  <c r="T159" i="9"/>
  <c r="T147" i="9"/>
  <c r="T135" i="9"/>
  <c r="T123" i="9"/>
  <c r="T111" i="9"/>
  <c r="T99" i="9"/>
  <c r="T87" i="9"/>
  <c r="T75" i="9"/>
  <c r="T63" i="9"/>
  <c r="T51" i="9"/>
  <c r="T39" i="9"/>
  <c r="T27" i="9"/>
  <c r="T15" i="9"/>
  <c r="T3" i="9"/>
  <c r="U216" i="9"/>
  <c r="U204" i="9"/>
  <c r="U192" i="9"/>
  <c r="U180" i="9"/>
  <c r="U168" i="9"/>
  <c r="U156" i="9"/>
  <c r="U144" i="9"/>
  <c r="U132" i="9"/>
  <c r="U120" i="9"/>
  <c r="U108" i="9"/>
  <c r="U96" i="9"/>
  <c r="U84" i="9"/>
  <c r="U72" i="9"/>
  <c r="U60" i="9"/>
  <c r="U48" i="9"/>
  <c r="U36" i="9"/>
  <c r="U24" i="9"/>
  <c r="U12" i="9"/>
  <c r="S220" i="9"/>
  <c r="S208" i="9"/>
  <c r="S196" i="9"/>
  <c r="S184" i="9"/>
  <c r="S172" i="9"/>
  <c r="S160" i="9"/>
  <c r="S148" i="9"/>
  <c r="S136" i="9"/>
  <c r="S124" i="9"/>
  <c r="S112" i="9"/>
  <c r="S100" i="9"/>
  <c r="S88" i="9"/>
  <c r="S76" i="9"/>
  <c r="S64" i="9"/>
  <c r="S52" i="9"/>
  <c r="S40" i="9"/>
  <c r="S28" i="9"/>
  <c r="S16" i="9"/>
  <c r="S4" i="9"/>
  <c r="T218" i="9"/>
  <c r="T206" i="9"/>
  <c r="T194" i="9"/>
  <c r="T182" i="9"/>
  <c r="T170" i="9"/>
  <c r="T158" i="9"/>
  <c r="T146" i="9"/>
  <c r="T134" i="9"/>
  <c r="T122" i="9"/>
  <c r="T110" i="9"/>
  <c r="T98" i="9"/>
  <c r="T86" i="9"/>
  <c r="T74" i="9"/>
  <c r="T62" i="9"/>
  <c r="T50" i="9"/>
  <c r="T38" i="9"/>
  <c r="T26" i="9"/>
  <c r="T14" i="9"/>
  <c r="U2" i="9"/>
  <c r="U215" i="9"/>
  <c r="U203" i="9"/>
  <c r="U191" i="9"/>
  <c r="U179" i="9"/>
  <c r="U167" i="9"/>
  <c r="U155" i="9"/>
  <c r="U143" i="9"/>
  <c r="U131" i="9"/>
  <c r="U119" i="9"/>
  <c r="U107" i="9"/>
  <c r="U95" i="9"/>
  <c r="U83" i="9"/>
  <c r="U71" i="9"/>
  <c r="U59" i="9"/>
  <c r="U47" i="9"/>
  <c r="U35" i="9"/>
  <c r="U23" i="9"/>
  <c r="U11" i="9"/>
  <c r="S219" i="9"/>
  <c r="S207" i="9"/>
  <c r="S195" i="9"/>
  <c r="S183" i="9"/>
  <c r="S171" i="9"/>
  <c r="S159" i="9"/>
  <c r="S147" i="9"/>
  <c r="S135" i="9"/>
  <c r="S123" i="9"/>
  <c r="S111" i="9"/>
  <c r="S99" i="9"/>
  <c r="S87" i="9"/>
  <c r="S75" i="9"/>
  <c r="S63" i="9"/>
  <c r="S51" i="9"/>
  <c r="S39" i="9"/>
  <c r="S27" i="9"/>
  <c r="S15" i="9"/>
  <c r="S3" i="9"/>
  <c r="T217" i="9"/>
  <c r="T205" i="9"/>
  <c r="T193" i="9"/>
  <c r="T181" i="9"/>
  <c r="T169" i="9"/>
  <c r="T157" i="9"/>
  <c r="T145" i="9"/>
  <c r="T133" i="9"/>
  <c r="T121" i="9"/>
  <c r="T109" i="9"/>
  <c r="T97" i="9"/>
  <c r="T85" i="9"/>
  <c r="T73" i="9"/>
  <c r="T61" i="9"/>
  <c r="T49" i="9"/>
  <c r="T37" i="9"/>
  <c r="T25" i="9"/>
  <c r="T13" i="9"/>
  <c r="U226" i="9"/>
  <c r="U214" i="9"/>
  <c r="U202" i="9"/>
  <c r="U190" i="9"/>
  <c r="U178" i="9"/>
  <c r="U166" i="9"/>
  <c r="U154" i="9"/>
  <c r="U142" i="9"/>
  <c r="U130" i="9"/>
  <c r="U118" i="9"/>
  <c r="U106" i="9"/>
  <c r="U94" i="9"/>
  <c r="U82" i="9"/>
  <c r="U70" i="9"/>
  <c r="U58" i="9"/>
  <c r="U46" i="9"/>
  <c r="U34" i="9"/>
  <c r="U22" i="9"/>
  <c r="U10" i="9"/>
  <c r="S218" i="9"/>
  <c r="S206" i="9"/>
  <c r="S194" i="9"/>
  <c r="S182" i="9"/>
  <c r="S170" i="9"/>
  <c r="S158" i="9"/>
  <c r="S146" i="9"/>
  <c r="S134" i="9"/>
  <c r="S122" i="9"/>
  <c r="S110" i="9"/>
  <c r="S98" i="9"/>
  <c r="S86" i="9"/>
  <c r="S74" i="9"/>
  <c r="S62" i="9"/>
  <c r="S50" i="9"/>
  <c r="S38" i="9"/>
  <c r="S26" i="9"/>
  <c r="S14" i="9"/>
  <c r="T216" i="9"/>
  <c r="T204" i="9"/>
  <c r="T192" i="9"/>
  <c r="T180" i="9"/>
  <c r="T168" i="9"/>
  <c r="T156" i="9"/>
  <c r="T144" i="9"/>
  <c r="T132" i="9"/>
  <c r="T120" i="9"/>
  <c r="T108" i="9"/>
  <c r="T96" i="9"/>
  <c r="T84" i="9"/>
  <c r="T72" i="9"/>
  <c r="T60" i="9"/>
  <c r="T48" i="9"/>
  <c r="T36" i="9"/>
  <c r="T24" i="9"/>
  <c r="T12" i="9"/>
  <c r="U225" i="9"/>
  <c r="U213" i="9"/>
  <c r="U201" i="9"/>
  <c r="U189" i="9"/>
  <c r="U177" i="9"/>
  <c r="U165" i="9"/>
  <c r="U153" i="9"/>
  <c r="U141" i="9"/>
  <c r="U129" i="9"/>
  <c r="U117" i="9"/>
  <c r="U105" i="9"/>
  <c r="U93" i="9"/>
  <c r="U81" i="9"/>
  <c r="U69" i="9"/>
  <c r="U57" i="9"/>
  <c r="U45" i="9"/>
  <c r="U33" i="9"/>
  <c r="U21" i="9"/>
  <c r="U9" i="9"/>
  <c r="S217" i="9"/>
  <c r="S205" i="9"/>
  <c r="S193" i="9"/>
  <c r="S181" i="9"/>
  <c r="S169" i="9"/>
  <c r="S157" i="9"/>
  <c r="S145" i="9"/>
  <c r="S133" i="9"/>
  <c r="S121" i="9"/>
  <c r="S109" i="9"/>
  <c r="S97" i="9"/>
  <c r="S85" i="9"/>
  <c r="S73" i="9"/>
  <c r="S61" i="9"/>
  <c r="S49" i="9"/>
  <c r="S37" i="9"/>
  <c r="S25" i="9"/>
  <c r="S13" i="9"/>
  <c r="T2" i="9"/>
  <c r="T215" i="9"/>
  <c r="T203" i="9"/>
  <c r="T191" i="9"/>
  <c r="T179" i="9"/>
  <c r="T167" i="9"/>
  <c r="T155" i="9"/>
  <c r="T143" i="9"/>
  <c r="T131" i="9"/>
  <c r="T119" i="9"/>
  <c r="T107" i="9"/>
  <c r="T95" i="9"/>
  <c r="T83" i="9"/>
  <c r="T71" i="9"/>
  <c r="T59" i="9"/>
  <c r="T47" i="9"/>
  <c r="T35" i="9"/>
  <c r="T23" i="9"/>
  <c r="T11" i="9"/>
  <c r="U224" i="9"/>
  <c r="U212" i="9"/>
  <c r="U200" i="9"/>
  <c r="U188" i="9"/>
  <c r="U176" i="9"/>
  <c r="U164" i="9"/>
  <c r="U152" i="9"/>
  <c r="U140" i="9"/>
  <c r="U128" i="9"/>
  <c r="U116" i="9"/>
  <c r="U104" i="9"/>
  <c r="U92" i="9"/>
  <c r="U80" i="9"/>
  <c r="U68" i="9"/>
  <c r="U56" i="9"/>
  <c r="U44" i="9"/>
  <c r="U32" i="9"/>
  <c r="U20" i="9"/>
  <c r="U8" i="9"/>
  <c r="U223" i="9"/>
  <c r="U211" i="9"/>
  <c r="U199" i="9"/>
  <c r="U187" i="9"/>
  <c r="U175" i="9"/>
  <c r="U163" i="9"/>
  <c r="U151" i="9"/>
  <c r="U139" i="9"/>
  <c r="U127" i="9"/>
  <c r="U115" i="9"/>
  <c r="U103" i="9"/>
  <c r="U91" i="9"/>
  <c r="U79" i="9"/>
  <c r="U67" i="9"/>
  <c r="U55" i="9"/>
  <c r="U43" i="9"/>
  <c r="U31" i="9"/>
  <c r="U19" i="9"/>
  <c r="U7" i="9"/>
  <c r="T225" i="9"/>
  <c r="T213" i="9"/>
  <c r="T201" i="9"/>
  <c r="T189" i="9"/>
  <c r="T177" i="9"/>
  <c r="T165" i="9"/>
  <c r="T153" i="9"/>
  <c r="T141" i="9"/>
  <c r="T129" i="9"/>
  <c r="T117" i="9"/>
  <c r="T105" i="9"/>
  <c r="T93" i="9"/>
  <c r="T81" i="9"/>
  <c r="T69" i="9"/>
  <c r="T57" i="9"/>
  <c r="T45" i="9"/>
  <c r="T33" i="9"/>
  <c r="T21" i="9"/>
  <c r="T9" i="9"/>
  <c r="U222" i="9"/>
  <c r="U210" i="9"/>
  <c r="U198" i="9"/>
  <c r="U186" i="9"/>
  <c r="U174" i="9"/>
  <c r="U162" i="9"/>
  <c r="U150" i="9"/>
  <c r="U138" i="9"/>
  <c r="U126" i="9"/>
  <c r="U114" i="9"/>
  <c r="U102" i="9"/>
  <c r="U90" i="9"/>
  <c r="U78" i="9"/>
  <c r="U66" i="9"/>
  <c r="U54" i="9"/>
  <c r="U42" i="9"/>
  <c r="U30" i="9"/>
  <c r="U18" i="9"/>
  <c r="U6" i="9"/>
  <c r="U113" i="9"/>
  <c r="U101" i="9"/>
  <c r="U89" i="9"/>
  <c r="U77" i="9"/>
  <c r="U65" i="9"/>
  <c r="U53" i="9"/>
  <c r="U41" i="9"/>
  <c r="U29" i="9"/>
  <c r="U17" i="9"/>
  <c r="U5" i="9"/>
  <c r="T223" i="9"/>
  <c r="T211" i="9"/>
  <c r="T199" i="9"/>
  <c r="T187" i="9"/>
  <c r="T175" i="9"/>
  <c r="T163" i="9"/>
  <c r="T151" i="9"/>
  <c r="T139" i="9"/>
  <c r="T127" i="9"/>
  <c r="T115" i="9"/>
  <c r="T103" i="9"/>
  <c r="T91" i="9"/>
  <c r="T79" i="9"/>
  <c r="T67" i="9"/>
  <c r="T55" i="9"/>
  <c r="T43" i="9"/>
  <c r="T31" i="9"/>
  <c r="T19" i="9"/>
  <c r="T7" i="9"/>
  <c r="U220" i="9"/>
  <c r="U208" i="9"/>
  <c r="U196" i="9"/>
  <c r="U184" i="9"/>
  <c r="U172" i="9"/>
  <c r="U160" i="9"/>
  <c r="U148" i="9"/>
  <c r="U136" i="9"/>
  <c r="U124" i="9"/>
  <c r="U112" i="9"/>
  <c r="U100" i="9"/>
  <c r="U88" i="9"/>
  <c r="U76" i="9"/>
  <c r="U64" i="9"/>
  <c r="U52" i="9"/>
  <c r="U40" i="9"/>
  <c r="U28" i="9"/>
  <c r="U16" i="9"/>
  <c r="U4" i="9"/>
  <c r="T222" i="9"/>
  <c r="T210" i="9"/>
  <c r="T198" i="9"/>
  <c r="T186" i="9"/>
  <c r="T174" i="9"/>
  <c r="T162" i="9"/>
  <c r="T150" i="9"/>
  <c r="T138" i="9"/>
  <c r="T126" i="9"/>
  <c r="T114" i="9"/>
  <c r="T102" i="9"/>
  <c r="T90" i="9"/>
  <c r="T78" i="9"/>
  <c r="T66" i="9"/>
  <c r="T54" i="9"/>
  <c r="T42" i="9"/>
  <c r="T30" i="9"/>
  <c r="T18" i="9"/>
  <c r="T6" i="9"/>
  <c r="H2" i="14"/>
  <c r="F2" i="14"/>
  <c r="L2" i="10"/>
  <c r="E2" i="10"/>
  <c r="F2" i="10"/>
  <c r="Z2" i="9" l="1"/>
  <c r="Y2" i="9"/>
  <c r="X2" i="9"/>
  <c r="G2" i="10"/>
  <c r="H2" i="10" s="1"/>
  <c r="I2" i="10" l="1"/>
  <c r="J105" i="10" s="1"/>
  <c r="J127" i="10"/>
  <c r="J211" i="10"/>
  <c r="J223" i="10"/>
  <c r="J216" i="10"/>
  <c r="J25" i="10"/>
  <c r="J61" i="10"/>
  <c r="J218" i="10"/>
  <c r="J155" i="10"/>
  <c r="J94" i="10"/>
  <c r="J32" i="10"/>
  <c r="J198" i="10"/>
  <c r="J54" i="10"/>
  <c r="J14" i="10"/>
  <c r="J28" i="10"/>
  <c r="J71" i="10"/>
  <c r="J202" i="10"/>
  <c r="J174" i="10"/>
  <c r="J30" i="10"/>
  <c r="J197" i="10"/>
  <c r="J102" i="10"/>
  <c r="J7" i="10"/>
  <c r="J29" i="10"/>
  <c r="J100" i="10"/>
  <c r="J146" i="10"/>
  <c r="J13" i="10"/>
  <c r="J200" i="10"/>
  <c r="J191" i="10"/>
  <c r="J47" i="10"/>
  <c r="J80" i="10"/>
  <c r="J4" i="10" l="1"/>
  <c r="J118" i="10"/>
  <c r="J122" i="10"/>
  <c r="J182" i="10"/>
  <c r="J208" i="10"/>
  <c r="J62" i="10"/>
  <c r="J87" i="10"/>
  <c r="J156" i="10"/>
  <c r="J101" i="10"/>
  <c r="J147" i="10"/>
  <c r="J31" i="10"/>
  <c r="J161" i="10"/>
  <c r="J42" i="10"/>
  <c r="J75" i="10"/>
  <c r="J132" i="10"/>
  <c r="J134" i="10"/>
  <c r="J178" i="10"/>
  <c r="J215" i="10"/>
  <c r="J167" i="10"/>
  <c r="J186" i="10"/>
  <c r="J40" i="10"/>
  <c r="J39" i="10"/>
  <c r="J84" i="10"/>
  <c r="J16" i="10"/>
  <c r="J184" i="10"/>
  <c r="J128" i="10"/>
  <c r="J41" i="10"/>
  <c r="J20" i="10"/>
  <c r="J159" i="10"/>
  <c r="J205" i="10"/>
  <c r="J60" i="10"/>
  <c r="J92" i="10"/>
  <c r="J176" i="10"/>
  <c r="J104" i="10"/>
  <c r="J206" i="10"/>
  <c r="J86" i="10"/>
  <c r="J221" i="10"/>
  <c r="J79" i="10"/>
  <c r="J18" i="10"/>
  <c r="J219" i="10"/>
  <c r="J164" i="10"/>
  <c r="J76" i="10"/>
  <c r="J193" i="10"/>
  <c r="J48" i="10"/>
  <c r="J35" i="10"/>
  <c r="J138" i="10"/>
  <c r="J190" i="10"/>
  <c r="J140" i="10"/>
  <c r="J148" i="10"/>
  <c r="J131" i="10"/>
  <c r="J220" i="10"/>
  <c r="J169" i="10"/>
  <c r="J177" i="10"/>
  <c r="J38" i="10"/>
  <c r="J204" i="10"/>
  <c r="J154" i="10"/>
  <c r="J185" i="10"/>
  <c r="J22" i="10"/>
  <c r="J170" i="10"/>
  <c r="J3" i="10"/>
  <c r="J43" i="10"/>
  <c r="J194" i="10"/>
  <c r="J66" i="10"/>
  <c r="J121" i="10"/>
  <c r="J141" i="10"/>
  <c r="J19" i="10"/>
  <c r="J83" i="10"/>
  <c r="J78" i="10"/>
  <c r="J52" i="10"/>
  <c r="J10" i="10"/>
  <c r="J53" i="10"/>
  <c r="J210" i="10"/>
  <c r="J109" i="10"/>
  <c r="J117" i="10"/>
  <c r="J90" i="10"/>
  <c r="J68" i="10"/>
  <c r="J166" i="10"/>
  <c r="J142" i="10"/>
  <c r="J179" i="10"/>
  <c r="J2" i="10"/>
  <c r="J119" i="10"/>
  <c r="J209" i="10"/>
  <c r="J125" i="10"/>
  <c r="J59" i="10"/>
  <c r="J162" i="10"/>
  <c r="J11" i="10"/>
  <c r="J217" i="10"/>
  <c r="J49" i="10"/>
  <c r="J72" i="10"/>
  <c r="J33" i="10"/>
  <c r="J36" i="10"/>
  <c r="J199" i="10"/>
  <c r="J157" i="10"/>
  <c r="J175" i="10"/>
  <c r="J171" i="10"/>
  <c r="J135" i="10"/>
  <c r="J192" i="10"/>
  <c r="J224" i="10"/>
  <c r="J160" i="10"/>
  <c r="J222" i="10"/>
  <c r="J107" i="10"/>
  <c r="J65" i="10"/>
  <c r="J196" i="10"/>
  <c r="J173" i="10"/>
  <c r="J89" i="10"/>
  <c r="J70" i="10"/>
  <c r="J82" i="10"/>
  <c r="J88" i="10"/>
  <c r="J111" i="10"/>
  <c r="J145" i="10"/>
  <c r="J180" i="10"/>
  <c r="J12" i="10"/>
  <c r="J163" i="10"/>
  <c r="J24" i="10"/>
  <c r="J130" i="10"/>
  <c r="J77" i="10"/>
  <c r="J23" i="10"/>
  <c r="J26" i="10"/>
  <c r="J126" i="10"/>
  <c r="J113" i="10"/>
  <c r="J98" i="10"/>
  <c r="J67" i="10"/>
  <c r="J214" i="10"/>
  <c r="J143" i="10"/>
  <c r="J5" i="10"/>
  <c r="J99" i="10"/>
  <c r="J133" i="10"/>
  <c r="J168" i="10"/>
  <c r="J201" i="10"/>
  <c r="J151" i="10"/>
  <c r="J115" i="10"/>
  <c r="J110" i="10"/>
  <c r="J55" i="10"/>
  <c r="J207" i="10"/>
  <c r="J106" i="10"/>
  <c r="J172" i="10"/>
  <c r="J8" i="10"/>
  <c r="J114" i="10"/>
  <c r="J15" i="10"/>
  <c r="J56" i="10"/>
  <c r="J34" i="10"/>
  <c r="J44" i="10"/>
  <c r="J63" i="10"/>
  <c r="J97" i="10"/>
  <c r="J120" i="10"/>
  <c r="J57" i="10"/>
  <c r="J225" i="10"/>
  <c r="J17" i="10"/>
  <c r="J183" i="10"/>
  <c r="J116" i="10"/>
  <c r="J136" i="10"/>
  <c r="J112" i="10"/>
  <c r="J150" i="10"/>
  <c r="J152" i="10"/>
  <c r="J203" i="10"/>
  <c r="J64" i="10"/>
  <c r="J195" i="10"/>
  <c r="J158" i="10"/>
  <c r="J188" i="10"/>
  <c r="J51" i="10"/>
  <c r="J73" i="10"/>
  <c r="J108" i="10"/>
  <c r="J189" i="10"/>
  <c r="J45" i="10"/>
  <c r="J103" i="10"/>
  <c r="J91" i="10"/>
  <c r="J213" i="10"/>
  <c r="J165" i="10"/>
  <c r="J129" i="10"/>
  <c r="J124" i="10"/>
  <c r="J95" i="10"/>
  <c r="J58" i="10"/>
  <c r="J9" i="10"/>
  <c r="J46" i="10"/>
  <c r="J50" i="10"/>
  <c r="J226" i="10"/>
  <c r="J137" i="10"/>
  <c r="J74" i="10"/>
  <c r="J27" i="10"/>
  <c r="J85" i="10"/>
  <c r="J144" i="10"/>
  <c r="J21" i="10"/>
  <c r="J187" i="10"/>
  <c r="J93" i="10"/>
  <c r="J69" i="10"/>
  <c r="J153" i="10"/>
  <c r="J212" i="10"/>
  <c r="J6" i="10"/>
  <c r="J149" i="10"/>
  <c r="J123" i="10"/>
  <c r="J181" i="10"/>
  <c r="J37" i="10"/>
  <c r="J96" i="10"/>
  <c r="J81" i="10"/>
  <c r="J139" i="10"/>
</calcChain>
</file>

<file path=xl/sharedStrings.xml><?xml version="1.0" encoding="utf-8"?>
<sst xmlns="http://schemas.openxmlformats.org/spreadsheetml/2006/main" count="6931" uniqueCount="583">
  <si>
    <t>API</t>
  </si>
  <si>
    <t>azure.com:advisor</t>
  </si>
  <si>
    <t>2016-07-12-preview-2017-03-31</t>
  </si>
  <si>
    <t>azure.com:alertsmanagement-AlertsManagement</t>
  </si>
  <si>
    <t>2019-03-01-2019-03-01-preview</t>
  </si>
  <si>
    <t>azure.com:analysisservices</t>
  </si>
  <si>
    <t>2017-08-01-2017-08-01-beta</t>
  </si>
  <si>
    <t>azure.com:apimanagement-apimapis</t>
  </si>
  <si>
    <t>2018-06-01-preview-2019-01-01</t>
  </si>
  <si>
    <t>2019-01-01-2019-12-01-preview</t>
  </si>
  <si>
    <t>azure.com:apimanagement-apimapisByTags</t>
  </si>
  <si>
    <t>azure.com:apimanagement-apimapiversionsets</t>
  </si>
  <si>
    <t>azure.com:apimanagement-apimauthorizationservers</t>
  </si>
  <si>
    <t>azure.com:apimanagement-apimbackends</t>
  </si>
  <si>
    <t>azure.com:apimanagement-apimcaches</t>
  </si>
  <si>
    <t>azure.com:apimanagement-apimcertificates</t>
  </si>
  <si>
    <t>2016-10-10-2017-03-01</t>
  </si>
  <si>
    <t>2017-03-01-2018-01-01</t>
  </si>
  <si>
    <t>azure.com:apimanagement-apimdeployment</t>
  </si>
  <si>
    <t>2018-01-01-2018-06-01-preview</t>
  </si>
  <si>
    <t>azure.com:apimanagement-apimdiagnostics</t>
  </si>
  <si>
    <t>azure.com:apimanagement-apimemailtemplate</t>
  </si>
  <si>
    <t>azure.com:apimanagement-apimemailtemplates</t>
  </si>
  <si>
    <t>azure.com:apimanagement-apimgroups</t>
  </si>
  <si>
    <t>azure.com:apimanagement-apimidentityprovider</t>
  </si>
  <si>
    <t>azure.com:apimanagement-apimissues</t>
  </si>
  <si>
    <t>azure.com:apimanagement-apimloggers</t>
  </si>
  <si>
    <t>azure.com:apimanagement-apimnetworkstatus</t>
  </si>
  <si>
    <t>azure.com:apimanagement-apimnotifications</t>
  </si>
  <si>
    <t>azure.com:apimanagement-apimopenidconnectproviders</t>
  </si>
  <si>
    <t>azure.com:apimanagement-apimpolicies</t>
  </si>
  <si>
    <t>azure.com:apimanagement-apimpolicysnippets</t>
  </si>
  <si>
    <t>azure.com:apimanagement-apimproducts</t>
  </si>
  <si>
    <t>azure.com:apimanagement-apimproductsByTags</t>
  </si>
  <si>
    <t>azure.com:apimanagement-apimproperties</t>
  </si>
  <si>
    <t>azure.com:apimanagement-apimquotas</t>
  </si>
  <si>
    <t>azure.com:apimanagement-apimregions</t>
  </si>
  <si>
    <t>azure.com:apimanagement-apimreports</t>
  </si>
  <si>
    <t>azure.com:apimanagement-apimsubscriptions</t>
  </si>
  <si>
    <t>azure.com:apimanagement-apimtagresources</t>
  </si>
  <si>
    <t>azure.com:apimanagement-apimtags</t>
  </si>
  <si>
    <t>azure.com:apimanagement-apimtenant</t>
  </si>
  <si>
    <t>azure.com:apimanagement-apimusers</t>
  </si>
  <si>
    <t>azure.com:apimanagement-apimversionsets</t>
  </si>
  <si>
    <t>azure.com:appconfiguration</t>
  </si>
  <si>
    <t>2019-02-01-preview-2019-10-01</t>
  </si>
  <si>
    <t>2019-10-01-2019-11-01-preview</t>
  </si>
  <si>
    <t>azure.com:applicationinsights-componentProactiveDetection_API</t>
  </si>
  <si>
    <t>2015-05-01-2018-05-01-preview</t>
  </si>
  <si>
    <t>azure.com:authorization-authorization-ClassicAdminCalls</t>
  </si>
  <si>
    <t>2015-06-01-2015-07-01</t>
  </si>
  <si>
    <t>azure.com:authorization-authorization-ProviderOperationsCalls</t>
  </si>
  <si>
    <t>2015-07-01-2018-01-01-preview</t>
  </si>
  <si>
    <t>azure.com:authorization-authorization-RoleAssignmentsCalls</t>
  </si>
  <si>
    <t>2015-07-01-2017-10-01-preview</t>
  </si>
  <si>
    <t>2017-10-01-preview-2018-01-01-preview</t>
  </si>
  <si>
    <t>2018-01-01-preview-2018-09-01-preview</t>
  </si>
  <si>
    <t>azure.com:automation-dscCompilationJob</t>
  </si>
  <si>
    <t>2015-10-31-2018-01-15</t>
  </si>
  <si>
    <t>azure.com:automation-dscNode</t>
  </si>
  <si>
    <t>azure.com:automation-dscNodeConfiguration</t>
  </si>
  <si>
    <t>azure.com:automation-job</t>
  </si>
  <si>
    <t>2015-10-31-2017-05-15-preview</t>
  </si>
  <si>
    <t>azure.com:automation-runbook</t>
  </si>
  <si>
    <t>2015-10-31-2018-06-30</t>
  </si>
  <si>
    <t>azure.com:azsadmin-Backup</t>
  </si>
  <si>
    <t>2016-05-01-2018-09-01</t>
  </si>
  <si>
    <t>azure.com:azsadmin-BackupLocations</t>
  </si>
  <si>
    <t>azure.com:azsadmin-Backups</t>
  </si>
  <si>
    <t>azure.com:azsadmin-Drive</t>
  </si>
  <si>
    <t>2018-10-01-2019-05-01</t>
  </si>
  <si>
    <t>azure.com:azsadmin-Quotas</t>
  </si>
  <si>
    <t>2017-02-01-preview-2018-02-09</t>
  </si>
  <si>
    <t>azure.com:azsadmin-Volume</t>
  </si>
  <si>
    <t>2016-05-01-2018-10-01</t>
  </si>
  <si>
    <t>azure.com:azsadmin-acquisitions</t>
  </si>
  <si>
    <t>2015-12-01-preview-2019-08-08-preview</t>
  </si>
  <si>
    <t>azure.com:azsadmin-storage</t>
  </si>
  <si>
    <t>azure.com:azure-kusto</t>
  </si>
  <si>
    <t>2017-09-07-privatepreview-2018-09-07-preview</t>
  </si>
  <si>
    <t>2019-01-21-2019-05-15</t>
  </si>
  <si>
    <t>azure.com:batch-BatchManagement</t>
  </si>
  <si>
    <t>2015-12-01-2017-01-01</t>
  </si>
  <si>
    <t>2018-12-01-2019-04-01</t>
  </si>
  <si>
    <t>2019-04-01-2019-08-01</t>
  </si>
  <si>
    <t>azure.com:batch-BatchService</t>
  </si>
  <si>
    <t>2019-06-01.9.0-2019-08-01.10.0</t>
  </si>
  <si>
    <t>azure.com:blueprint-blueprintAssignment</t>
  </si>
  <si>
    <t>2017-11-11-preview-2018-11-01-preview</t>
  </si>
  <si>
    <t>azure.com:cdn</t>
  </si>
  <si>
    <t>2015-06-01-2016-04-02</t>
  </si>
  <si>
    <t>2017-10-12-2019-04-15</t>
  </si>
  <si>
    <t>2019-04-15-2019-06-15-preview</t>
  </si>
  <si>
    <t>azure.com:cognitiveservices-FormRecognizer</t>
  </si>
  <si>
    <t>1.0-preview-2.0-preview</t>
  </si>
  <si>
    <t>azure.com:cognitiveservices-LUIS-Runtime</t>
  </si>
  <si>
    <t>2.0-3.0</t>
  </si>
  <si>
    <t>3.0-3.0-preview</t>
  </si>
  <si>
    <t>3.0-preview-v2.0</t>
  </si>
  <si>
    <t>v2.0-v2.0 preview</t>
  </si>
  <si>
    <t>azure.com:cognitiveservices-TextAnalytics</t>
  </si>
  <si>
    <t>v2.0-v2.1</t>
  </si>
  <si>
    <t>v2.1-v2.1-preview</t>
  </si>
  <si>
    <t>v2.1-preview-v3.0-preview.1</t>
  </si>
  <si>
    <t>azure.com:compute</t>
  </si>
  <si>
    <t>2018-06-01-2018-10-01</t>
  </si>
  <si>
    <t>azure.com:compute-containerService</t>
  </si>
  <si>
    <t>2016-03-30-2016-09-30</t>
  </si>
  <si>
    <t>2016-09-30-2017-01-31</t>
  </si>
  <si>
    <t>azure.com:compute-disk</t>
  </si>
  <si>
    <t>2016-04-30-preview-2017-03-30</t>
  </si>
  <si>
    <t>2017-03-30-2018-04-01</t>
  </si>
  <si>
    <t>2018-04-01-2018-06-01</t>
  </si>
  <si>
    <t>2018-06-01-2018-09-30</t>
  </si>
  <si>
    <t>2018-09-30-2019-03-01</t>
  </si>
  <si>
    <t>azure.com:compute-runCommands</t>
  </si>
  <si>
    <t>2017-03-30-2017-12-01</t>
  </si>
  <si>
    <t>2018-10-01-2019-03-01</t>
  </si>
  <si>
    <t>2019-03-01-2019-07-01</t>
  </si>
  <si>
    <t>azure.com:compute-skus</t>
  </si>
  <si>
    <t>2017-09-01-2019-04-01</t>
  </si>
  <si>
    <t>azure.com:consumption</t>
  </si>
  <si>
    <t>2019-01-01-2019-04-01-preview</t>
  </si>
  <si>
    <t>azure.com:containerinstance-containerInstance</t>
  </si>
  <si>
    <t>2018-02-01-preview-2018-04-01</t>
  </si>
  <si>
    <t>2018-06-01-2018-09-01</t>
  </si>
  <si>
    <t>azure.com:containerregistry-containerregistry_build</t>
  </si>
  <si>
    <t>2018-09-01-2019-04-01</t>
  </si>
  <si>
    <t>azure.com:containerservice-containerService</t>
  </si>
  <si>
    <t>2017-01-31-2017-07-01</t>
  </si>
  <si>
    <t>azure.com:containerservice-location</t>
  </si>
  <si>
    <t>2017-09-30-2019-04-01</t>
  </si>
  <si>
    <t>2019-04-01-2019-06-01</t>
  </si>
  <si>
    <t>2019-06-01-2019-08-01</t>
  </si>
  <si>
    <t>azure.com:containerservice-managedClusters</t>
  </si>
  <si>
    <t>2018-03-31-2018-08-01-preview</t>
  </si>
  <si>
    <t>2019-10-01-2019-11-01</t>
  </si>
  <si>
    <t>2019-11-01-2020-01-01</t>
  </si>
  <si>
    <t>azure.com:containerservice-openShiftManagedClusters</t>
  </si>
  <si>
    <t>2018-09-30-preview-2019-04-30</t>
  </si>
  <si>
    <t>2019-04-30-2019-09-30-preview</t>
  </si>
  <si>
    <t>azure.com:containerservices-containerService</t>
  </si>
  <si>
    <t>azure.com:containerservices-managedClusters</t>
  </si>
  <si>
    <t>azure.com:cosmos-db</t>
  </si>
  <si>
    <t>2015-04-01-2015-04-08</t>
  </si>
  <si>
    <t>2015-04-08-2015-11-06</t>
  </si>
  <si>
    <t>2015-11-06-2016-03-19</t>
  </si>
  <si>
    <t>2016-03-19-2016-03-31</t>
  </si>
  <si>
    <t>2019-08-01-2019-12-12</t>
  </si>
  <si>
    <t>azure.com:cost-management-costmanagement</t>
  </si>
  <si>
    <t>2019-09-01-2019-10-01</t>
  </si>
  <si>
    <t>azure.com:datalake-analytics-job</t>
  </si>
  <si>
    <t>2015-11-01-preview-2016-03-20-preview</t>
  </si>
  <si>
    <t>azure.com:datashare-DataShare</t>
  </si>
  <si>
    <t>2018-11-01-preview-2019-11-01</t>
  </si>
  <si>
    <t>azure.com:deviceprovisioningservices-iotdps</t>
  </si>
  <si>
    <t>2017-11-15-2018-01-22</t>
  </si>
  <si>
    <t>azure.com:dns</t>
  </si>
  <si>
    <t>2015-05-04-preview-2016-04-01</t>
  </si>
  <si>
    <t>2016-04-01-2017-09-01</t>
  </si>
  <si>
    <t>2017-09-01-2017-10-01</t>
  </si>
  <si>
    <t>2017-10-01-2018-03-01-preview</t>
  </si>
  <si>
    <t>2018-03-01-preview-2018-05-01</t>
  </si>
  <si>
    <t>azure.com:domainservices</t>
  </si>
  <si>
    <t>2017-01-01-2017-06-01</t>
  </si>
  <si>
    <t>2017-06-01-2020-01-01</t>
  </si>
  <si>
    <t>azure.com:eventgrid-EventGrid</t>
  </si>
  <si>
    <t>2019-06-01-2020-01-01-preview</t>
  </si>
  <si>
    <t>2020-01-01-preview-2020-04-01-preview</t>
  </si>
  <si>
    <t>azure.com:frontdoor</t>
  </si>
  <si>
    <t>2018-08-01-2019-04-01</t>
  </si>
  <si>
    <t>2019-04-01-2019-05-01</t>
  </si>
  <si>
    <t>azure.com:frontdoor-webapplicationfirewall</t>
  </si>
  <si>
    <t>2019-03-01-2019-10-01</t>
  </si>
  <si>
    <t>azure.com:guestconfiguration</t>
  </si>
  <si>
    <t>2018-01-20-preview-2018-06-30-preview</t>
  </si>
  <si>
    <t>2018-06-30-preview-2018-11-20</t>
  </si>
  <si>
    <t>azure.com:hdinsight-applications</t>
  </si>
  <si>
    <t>2015-03-01-preview-2018-06-01-preview</t>
  </si>
  <si>
    <t>azure.com:hdinsight-cluster</t>
  </si>
  <si>
    <t>azure.com:hdinsight-configurations</t>
  </si>
  <si>
    <t>azure.com:hdinsight-extensions</t>
  </si>
  <si>
    <t>azure.com:hdinsight-locations</t>
  </si>
  <si>
    <t>azure.com:hdinsight-operations</t>
  </si>
  <si>
    <t>azure.com:hdinsight-scriptActions</t>
  </si>
  <si>
    <t>azure.com:healthcareapis-healthcare-apis</t>
  </si>
  <si>
    <t>2018-08-20-preview-2019-09-16</t>
  </si>
  <si>
    <t>azure.com:imagebuilder</t>
  </si>
  <si>
    <t>2018-02-01-preview-2019-02-01-preview</t>
  </si>
  <si>
    <t>2019-02-01-preview-2019-05-01-preview</t>
  </si>
  <si>
    <t>azure.com:imds</t>
  </si>
  <si>
    <t>2018-10-01-2019-02-01</t>
  </si>
  <si>
    <t>2019-02-01-2019-03-11</t>
  </si>
  <si>
    <t>2019-03-11-2019-04-30</t>
  </si>
  <si>
    <t>2019-04-30-2019-06-01</t>
  </si>
  <si>
    <t>2019-06-01-2019-06-04</t>
  </si>
  <si>
    <t>2019-06-04-2019-08-01</t>
  </si>
  <si>
    <t>azure.com:intune</t>
  </si>
  <si>
    <t>2015-01-14-preview-2015-01-14-privatepreview</t>
  </si>
  <si>
    <t>azure.com:iothub</t>
  </si>
  <si>
    <t>2016-02-03-2017-01-19</t>
  </si>
  <si>
    <t>2018-04-01-2018-12-01-preview</t>
  </si>
  <si>
    <t>2019-03-22-2019-03-22-preview</t>
  </si>
  <si>
    <t>2019-03-22-preview-2019-07-01-preview</t>
  </si>
  <si>
    <t>2019-07-01-preview-2019-11-04</t>
  </si>
  <si>
    <t>azure.com:keyvault</t>
  </si>
  <si>
    <t>2016-10-01-2018-02-14</t>
  </si>
  <si>
    <t>2018-02-14-2018-02-14-preview</t>
  </si>
  <si>
    <t>7.0-7.0-preview</t>
  </si>
  <si>
    <t>azure.com:keyvault-providers</t>
  </si>
  <si>
    <t>2018-02-14-preview-2019-09-01</t>
  </si>
  <si>
    <t>azure.com:keyvault-secrets</t>
  </si>
  <si>
    <t>azure.com:machinelearning-workspaces</t>
  </si>
  <si>
    <t>2016-04-01-2019-10-01</t>
  </si>
  <si>
    <t>azure.com:machinelearningservices-artifact</t>
  </si>
  <si>
    <t>2019-08-01-2019-09-30</t>
  </si>
  <si>
    <t>azure.com:machinelearningservices-datastore</t>
  </si>
  <si>
    <t>azure.com:machinelearningservices-execution</t>
  </si>
  <si>
    <t>azure.com:machinelearningservices-hyperdrive</t>
  </si>
  <si>
    <t>azure.com:machinelearningservices-modelManagement</t>
  </si>
  <si>
    <t>azure.com:machinelearningservices-runHistory</t>
  </si>
  <si>
    <t>azure.com:managedservices</t>
  </si>
  <si>
    <t>2018-06-01-preview-2019-04-01-preview</t>
  </si>
  <si>
    <t>2019-04-01-preview-2019-06-01</t>
  </si>
  <si>
    <t>azure.com:managementgroups-management</t>
  </si>
  <si>
    <t>2018-03-01-preview-2019-11-01</t>
  </si>
  <si>
    <t>azure.com:maps-maps-management</t>
  </si>
  <si>
    <t>2017-01-01-preview-2018-05-01</t>
  </si>
  <si>
    <t>azure.com:mariadb-PrivateEndpointConnections</t>
  </si>
  <si>
    <t>2018-06-01-2018-06-01-privatepreview</t>
  </si>
  <si>
    <t>azure.com:mariadb-PrivateLinkResources</t>
  </si>
  <si>
    <t>azure.com:mediaservices-Accounts</t>
  </si>
  <si>
    <t>2018-03-30-preview-2018-06-01-preview</t>
  </si>
  <si>
    <t>2018-06-01-preview-2018-07-01</t>
  </si>
  <si>
    <t>azure.com:mediaservices-Assets</t>
  </si>
  <si>
    <t>azure.com:mediaservices-ContentKeyPolicies</t>
  </si>
  <si>
    <t>azure.com:mediaservices-Encoding</t>
  </si>
  <si>
    <t>azure.com:mediaservices-StreamingPoliciesAndStreamingLocators</t>
  </si>
  <si>
    <t>azure.com:mediaservices-streamingservice</t>
  </si>
  <si>
    <t>2018-07-01-2019-05-01-preview</t>
  </si>
  <si>
    <t>azure.com:monitor-actionGroups_API</t>
  </si>
  <si>
    <t>2017-04-01-2018-03-01</t>
  </si>
  <si>
    <t>2018-03-01-2018-09-01</t>
  </si>
  <si>
    <t>2018-09-01-2019-03-01</t>
  </si>
  <si>
    <t>2019-03-01-2019-06-01</t>
  </si>
  <si>
    <t>azure.com:monitor-activityLogAlerts_API</t>
  </si>
  <si>
    <t>2017-03-01-preview-2017-04-01</t>
  </si>
  <si>
    <t>azure.com:monitor-calculateBaseline_API</t>
  </si>
  <si>
    <t>2017-11-01-preview-2018-09-01</t>
  </si>
  <si>
    <t>azure.com:monitor-metricDefinitions_API</t>
  </si>
  <si>
    <t>2016-03-01-2017-05-01-preview</t>
  </si>
  <si>
    <t>2017-05-01-preview-2018-01-01</t>
  </si>
  <si>
    <t>azure.com:monitor-metrics_API</t>
  </si>
  <si>
    <t>2016-09-01-2017-05-01-preview</t>
  </si>
  <si>
    <t>azure.com:monitor-serviceDiagnosticsSettings_API</t>
  </si>
  <si>
    <t>2015-07-01-2016-09-01</t>
  </si>
  <si>
    <t>azure.com:msi-ManagedIdentity</t>
  </si>
  <si>
    <t>2015-08-31-preview-2018-11-30</t>
  </si>
  <si>
    <t>azure.com:mysql-PrivateEndpointConnections</t>
  </si>
  <si>
    <t>azure.com:mysql-PrivateLinkResources</t>
  </si>
  <si>
    <t>azure.com:netapp</t>
  </si>
  <si>
    <t>2019-06-01-2019-07-01</t>
  </si>
  <si>
    <t>2019-07-01-2019-08-01</t>
  </si>
  <si>
    <t>azure.com:network-applicationSecurityGroup</t>
  </si>
  <si>
    <t>2017-10-01-2017-11-01</t>
  </si>
  <si>
    <t>2017-11-01-2018-01-01</t>
  </si>
  <si>
    <t>2018-01-01-2018-02-01</t>
  </si>
  <si>
    <t>2018-06-01-2018-07-01</t>
  </si>
  <si>
    <t>2018-07-01-2018-08-01</t>
  </si>
  <si>
    <t>2018-08-01-2018-10-01</t>
  </si>
  <si>
    <t>2018-10-01-2018-11-01</t>
  </si>
  <si>
    <t>2018-11-01-2018-12-01</t>
  </si>
  <si>
    <t>2018-12-01-2019-02-01</t>
  </si>
  <si>
    <t>2019-02-01-2019-04-01</t>
  </si>
  <si>
    <t>azure.com:network-availableDelegations</t>
  </si>
  <si>
    <t>azure.com:network-azureFirewall</t>
  </si>
  <si>
    <t>azure.com:network-azureFirewallFqdnTag</t>
  </si>
  <si>
    <t>azure.com:network-bastionHost</t>
  </si>
  <si>
    <t>azure.com:network-checkDnsAvailability</t>
  </si>
  <si>
    <t>2015-06-15-2016-09-01</t>
  </si>
  <si>
    <t>2016-09-01-2016-12-01</t>
  </si>
  <si>
    <t>2016-12-01-2017-03-01</t>
  </si>
  <si>
    <t>2017-03-01-2017-06-01</t>
  </si>
  <si>
    <t>2017-06-01-2017-08-01</t>
  </si>
  <si>
    <t>2017-08-01-2017-09-01</t>
  </si>
  <si>
    <t>azure.com:network-ddosCustomPolicy</t>
  </si>
  <si>
    <t>azure.com:network-ddosProtectionPlan</t>
  </si>
  <si>
    <t>azure.com:network-endpointService</t>
  </si>
  <si>
    <t>azure.com:network-expressRouteCircuit</t>
  </si>
  <si>
    <t>2016-12-01-2017-06-01</t>
  </si>
  <si>
    <t>azure.com:network-expressRouteCrossConnection</t>
  </si>
  <si>
    <t>azure.com:network-expressRouteGateway</t>
  </si>
  <si>
    <t>azure.com:network-expressRoutePort</t>
  </si>
  <si>
    <t>azure.com:network-firewallPolicy</t>
  </si>
  <si>
    <t>azure.com:network-interfaceEndpoint</t>
  </si>
  <si>
    <t>azure.com:network-ipGroups</t>
  </si>
  <si>
    <t>2019-09-01-2019-11-01</t>
  </si>
  <si>
    <t>azure.com:network-loadBalancer</t>
  </si>
  <si>
    <t>azure.com:network-natGateway</t>
  </si>
  <si>
    <t>azure.com:network-networkInterface</t>
  </si>
  <si>
    <t>azure.com:network-networkProfile</t>
  </si>
  <si>
    <t>azure.com:network-networkSecurityGroup</t>
  </si>
  <si>
    <t>azure.com:network-networkWatcher</t>
  </si>
  <si>
    <t>2019-08-01-2019-09-01</t>
  </si>
  <si>
    <t>azure.com:network-operation</t>
  </si>
  <si>
    <t>azure.com:network-privateEndpoint</t>
  </si>
  <si>
    <t>azure.com:network-privateLinkService</t>
  </si>
  <si>
    <t>azure.com:network-publicIpAddress</t>
  </si>
  <si>
    <t>azure.com:network-publicIpPrefix</t>
  </si>
  <si>
    <t>azure.com:network-routeFilter</t>
  </si>
  <si>
    <t>azure.com:network-routeTable</t>
  </si>
  <si>
    <t>azure.com:network-serviceCommunity</t>
  </si>
  <si>
    <t>azure.com:network-serviceEndpointPolicy</t>
  </si>
  <si>
    <t>azure.com:network-serviceTags</t>
  </si>
  <si>
    <t>azure.com:network-usage</t>
  </si>
  <si>
    <t>azure.com:network-virtualNetwork</t>
  </si>
  <si>
    <t>azure.com:network-virtualNetworkGateway</t>
  </si>
  <si>
    <t>azure.com:network-virtualNetworkTap</t>
  </si>
  <si>
    <t>azure.com:network-virtualRouter</t>
  </si>
  <si>
    <t>azure.com:network-virtualWan</t>
  </si>
  <si>
    <t>azure.com:network-vmssNetworkInterface</t>
  </si>
  <si>
    <t>2017-03-30-2018-10-01</t>
  </si>
  <si>
    <t>azure.com:network-vmssPublicIpAddress</t>
  </si>
  <si>
    <t>azure.com:peering</t>
  </si>
  <si>
    <t>2019-03-01-preview-2019-06-01-preview</t>
  </si>
  <si>
    <t>azure.com:policyinsights-policyEvents</t>
  </si>
  <si>
    <t>2017-08-09-preview-2017-10-17-preview</t>
  </si>
  <si>
    <t>2017-12-12-preview-2018-04-04</t>
  </si>
  <si>
    <t>azure.com:policyinsights-policyStates</t>
  </si>
  <si>
    <t>azure.com:policyinsights-remediations</t>
  </si>
  <si>
    <t>2018-07-01-preview-2019-07-01</t>
  </si>
  <si>
    <t>azure.com:portal</t>
  </si>
  <si>
    <t>2015-08-01-preview-2018-10-01-preview</t>
  </si>
  <si>
    <t>2018-10-01-preview-2019-01-01-preview</t>
  </si>
  <si>
    <t>azure.com:postgresql-PrivateEndpointConnections</t>
  </si>
  <si>
    <t>azure.com:postgresql-PrivateLinkResources</t>
  </si>
  <si>
    <t>azure.com:recoveryservicesbackup-bms</t>
  </si>
  <si>
    <t>2019-05-13-2019-06-15</t>
  </si>
  <si>
    <t>azure.com:redis</t>
  </si>
  <si>
    <t>2017-10-01-2018-03-01</t>
  </si>
  <si>
    <t>2018-03-01-2019-07-01</t>
  </si>
  <si>
    <t>azure.com:reservations</t>
  </si>
  <si>
    <t>2017-11-01-2018-06-01</t>
  </si>
  <si>
    <t>azure.com:resources</t>
  </si>
  <si>
    <t>2016-02-01-2016-07-01</t>
  </si>
  <si>
    <t>2016-07-01-2016-09-01</t>
  </si>
  <si>
    <t>2017-05-10-2018-02-01</t>
  </si>
  <si>
    <t>2018-05-01-2019-03-01</t>
  </si>
  <si>
    <t>azure.com:resources-policy</t>
  </si>
  <si>
    <t>2015-10-01-preview-2016-04-01</t>
  </si>
  <si>
    <t>azure.com:resources-policyAssignments</t>
  </si>
  <si>
    <t>2016-12-01-2017-06-01-preview</t>
  </si>
  <si>
    <t>2018-03-01-2018-05-01</t>
  </si>
  <si>
    <t>2018-05-01-2019-01-01</t>
  </si>
  <si>
    <t>2019-01-01-2019-06-01</t>
  </si>
  <si>
    <t>azure.com:resources-policyDefinitions</t>
  </si>
  <si>
    <t>2016-12-01-2018-03-01</t>
  </si>
  <si>
    <t>2019-06-01-2019-09-01</t>
  </si>
  <si>
    <t>azure.com:resources-policySetDefinitions</t>
  </si>
  <si>
    <t>2017-06-01-preview-2018-03-01</t>
  </si>
  <si>
    <t>azure.com:resources-subscriptions</t>
  </si>
  <si>
    <t>2016-06-01-2018-06-01</t>
  </si>
  <si>
    <t>2018-06-01-2019-06-01</t>
  </si>
  <si>
    <t>2019-06-01-2019-11-01</t>
  </si>
  <si>
    <t>azure.com:scheduler</t>
  </si>
  <si>
    <t>2014-08-01-preview-2016-01-01</t>
  </si>
  <si>
    <t>azure.com:search-searchindex</t>
  </si>
  <si>
    <t>2015-02-28-2015-02-28-Preview</t>
  </si>
  <si>
    <t>2015-02-28-Preview-2016-09-01</t>
  </si>
  <si>
    <t>2016-09-01-2016-09-01-Preview</t>
  </si>
  <si>
    <t>2016-09-01-Preview-2017-11-11</t>
  </si>
  <si>
    <t>2017-11-11-Preview-2019-05-06</t>
  </si>
  <si>
    <t>2019-05-06-2019-05-06-Preview</t>
  </si>
  <si>
    <t>azure.com:search-searchservice</t>
  </si>
  <si>
    <t>azure.com:security-advancedThreatProtectionSettings</t>
  </si>
  <si>
    <t>2017-08-01-preview-2019-01-01</t>
  </si>
  <si>
    <t>azure.com:security-alerts</t>
  </si>
  <si>
    <t>2015-06-01-preview-2019-01-01</t>
  </si>
  <si>
    <t>azure.com:security-assessmentMetadata</t>
  </si>
  <si>
    <t>2019-01-01-preview-2020-01-01</t>
  </si>
  <si>
    <t>azure.com:security-assessments</t>
  </si>
  <si>
    <t>azure.com:security-deviceSecurityGroups</t>
  </si>
  <si>
    <t>2017-08-01-preview-2019-08-01</t>
  </si>
  <si>
    <t>azure.com:security-iotSecuritySolutionAnalytics</t>
  </si>
  <si>
    <t>azure.com:security-iotSecuritySolutions</t>
  </si>
  <si>
    <t>azure.com:servermanagement</t>
  </si>
  <si>
    <t>2015-07-01-preview-2016-07-01-preview</t>
  </si>
  <si>
    <t>azure.com:servicefabric-application</t>
  </si>
  <si>
    <t>2017-07-01-preview-2019-03-01</t>
  </si>
  <si>
    <t>azure.com:servicefabric-cluster</t>
  </si>
  <si>
    <t>2018-02-01-2019-03-01</t>
  </si>
  <si>
    <t>azure.com:softwareplan</t>
  </si>
  <si>
    <t>2019-06-01-preview-2019-12-01</t>
  </si>
  <si>
    <t>azure.com:sql-cancelOperations</t>
  </si>
  <si>
    <t>2017-03-01-preview-2017-10-01-preview</t>
  </si>
  <si>
    <t>azure.com:sql-capabilities</t>
  </si>
  <si>
    <t>2014-04-01-2015-05-01</t>
  </si>
  <si>
    <t>2017-10-01-preview-2018-06-01-preview</t>
  </si>
  <si>
    <t>azure.com:sql-operations</t>
  </si>
  <si>
    <t>2014-04-01-2015-05-01-preview</t>
  </si>
  <si>
    <t>azure.com:sql-restorePoints</t>
  </si>
  <si>
    <t>2014-04-01-2017-03-01-preview</t>
  </si>
  <si>
    <t>azure.com:sql-servers</t>
  </si>
  <si>
    <t>azure.com:sql-usages</t>
  </si>
  <si>
    <t>2015-05-01-2015-05-01-preview</t>
  </si>
  <si>
    <t>azure.com:storage</t>
  </si>
  <si>
    <t>2015-05-01-preview-2015-06-15</t>
  </si>
  <si>
    <t>2016-05-01-2016-12-01</t>
  </si>
  <si>
    <t>2017-06-01-2017-10-01</t>
  </si>
  <si>
    <t>azure.com:storage-blob</t>
  </si>
  <si>
    <t>2018-07-01-2018-11-01</t>
  </si>
  <si>
    <t>azure.com:storagesync</t>
  </si>
  <si>
    <t>2018-04-02-2018-07-01</t>
  </si>
  <si>
    <t>2018-07-01-2018-10-01</t>
  </si>
  <si>
    <t>2019-02-01-2019-03-01</t>
  </si>
  <si>
    <t>azure.com:subscription-subscriptions</t>
  </si>
  <si>
    <t>2019-10-01-preview-2020-01-01</t>
  </si>
  <si>
    <t>azure.com:timeseriesinsights</t>
  </si>
  <si>
    <t>2017-11-15-2018-08-15-preview</t>
  </si>
  <si>
    <t>azure.com:trafficmanager</t>
  </si>
  <si>
    <t>2017-03-01-2017-05-01</t>
  </si>
  <si>
    <t>2017-05-01-2018-02-01</t>
  </si>
  <si>
    <t>azure.com:web-AppServiceCertificateOrders</t>
  </si>
  <si>
    <t>2015-08-01-2018-02-01</t>
  </si>
  <si>
    <t>2018-02-01-2019-08-01</t>
  </si>
  <si>
    <t>azure.com:web-AppServicePlans</t>
  </si>
  <si>
    <t>2016-09-01-2018-02-01</t>
  </si>
  <si>
    <t>azure.com:web-CertificateRegistrationProvider</t>
  </si>
  <si>
    <t>azure.com:web-Certificates</t>
  </si>
  <si>
    <t>2016-03-01-2018-02-01</t>
  </si>
  <si>
    <t>2018-02-01-2018-11-01</t>
  </si>
  <si>
    <t>2018-11-01-2019-08-01</t>
  </si>
  <si>
    <t>azure.com:web-DeletedWebApps</t>
  </si>
  <si>
    <t>azure.com:web-Diagnostics</t>
  </si>
  <si>
    <t>azure.com:web-DomainRegistrationProvider</t>
  </si>
  <si>
    <t>2015-04-01-2018-02-01</t>
  </si>
  <si>
    <t>azure.com:web-Domains</t>
  </si>
  <si>
    <t>azure.com:web-Provider</t>
  </si>
  <si>
    <t>azure.com:web-Recommendations</t>
  </si>
  <si>
    <t>azure.com:web-ResourceHealthMetadata</t>
  </si>
  <si>
    <t>azure.com:web-TopLevelDomains</t>
  </si>
  <si>
    <t>azure.com:windowsiot-WindowsIotServices</t>
  </si>
  <si>
    <t>2018-02-16-preview-2019-06-01</t>
  </si>
  <si>
    <t>windows.net:batch-BatchService</t>
  </si>
  <si>
    <t>2016-07-01.3.1-2017-01-01.4.0</t>
  </si>
  <si>
    <t>2017-01-01.4.0-2017-05-01.5.0</t>
  </si>
  <si>
    <t>2017-06-01.5.1-2017-09-01.6.0</t>
  </si>
  <si>
    <t>2018-03-01.6.1-2018-08-01.7.0</t>
  </si>
  <si>
    <t>Affected APIs</t>
  </si>
  <si>
    <t>DISTINCT APIs</t>
  </si>
  <si>
    <t>Occurrences</t>
  </si>
  <si>
    <t>Number of versions</t>
  </si>
  <si>
    <t>API - no duplicates</t>
  </si>
  <si>
    <t>Total number of versions</t>
  </si>
  <si>
    <t>AVG number of versions</t>
  </si>
  <si>
    <t>AVG breaking changes</t>
  </si>
  <si>
    <t>Total number of APIs</t>
  </si>
  <si>
    <t>Percentage of affected APIs</t>
  </si>
  <si>
    <t>Not affected APIs</t>
  </si>
  <si>
    <t>APIs affected by breaking changes</t>
  </si>
  <si>
    <t>APIs not affected by breaking changes</t>
  </si>
  <si>
    <t>Total number of pair-versions of APIs</t>
  </si>
  <si>
    <t>Pair-versions affected by breaking changes</t>
  </si>
  <si>
    <t>Percentage of pair-versions affected by breaking changes</t>
  </si>
  <si>
    <t>Q1</t>
  </si>
  <si>
    <t>IQR</t>
  </si>
  <si>
    <t>Upper bound</t>
  </si>
  <si>
    <t>Lower bound</t>
  </si>
  <si>
    <t>Q3</t>
  </si>
  <si>
    <t>Outlier</t>
  </si>
  <si>
    <t xml:space="preserve">Breaking change most repeated </t>
  </si>
  <si>
    <t>Number of occurrences in APIs</t>
  </si>
  <si>
    <t>Increase Number of Parameters</t>
  </si>
  <si>
    <t>Non-breaking change most repeated</t>
  </si>
  <si>
    <t>Rename parameter</t>
  </si>
  <si>
    <t>Breaking changes</t>
  </si>
  <si>
    <t>APIs with this change as the most recurring one</t>
  </si>
  <si>
    <t>Change Type of Return Value</t>
  </si>
  <si>
    <t>Decrease Number of Parameters</t>
  </si>
  <si>
    <t>Modify Content Type Consume</t>
  </si>
  <si>
    <t>Remove Status Code</t>
  </si>
  <si>
    <t>Non-breaking changes</t>
  </si>
  <si>
    <t>Add Path</t>
  </si>
  <si>
    <t>Add Status Code</t>
  </si>
  <si>
    <t>Remove Restricted Access to the API</t>
  </si>
  <si>
    <t>Rename Parameter</t>
  </si>
  <si>
    <t>Avg % endpoints that change</t>
  </si>
  <si>
    <t>Avg % endpoints that do not change</t>
  </si>
  <si>
    <t>Downward breaking changes?</t>
  </si>
  <si>
    <t>Version pair</t>
  </si>
  <si>
    <t>Number of breaking changes</t>
  </si>
  <si>
    <t>Total number of changes</t>
  </si>
  <si>
    <t>Is affected?</t>
  </si>
  <si>
    <t>Total number of breaking changes</t>
  </si>
  <si>
    <t>Is affected by BC?</t>
  </si>
  <si>
    <t>Pairs of versions</t>
  </si>
  <si>
    <t>Num version</t>
  </si>
  <si>
    <t>Pair of versions</t>
  </si>
  <si>
    <t>Pair of Versions</t>
  </si>
  <si>
    <t>Breaking changes per pair of versions (cumulative sum)</t>
  </si>
  <si>
    <t>API 1 pv1</t>
  </si>
  <si>
    <t>API 2 pv2</t>
  </si>
  <si>
    <t>API 3 pv3</t>
  </si>
  <si>
    <t>API 2 pv1</t>
  </si>
  <si>
    <t>API 3 pv2</t>
  </si>
  <si>
    <t>API 3 pv1</t>
  </si>
  <si>
    <t>API 3 pv4</t>
  </si>
  <si>
    <t>API 3 pv5</t>
  </si>
  <si>
    <t>Total number of non-breaking changes</t>
  </si>
  <si>
    <t>Is affected by Non-BC?</t>
  </si>
  <si>
    <t>Is not affected at all?</t>
  </si>
  <si>
    <t>APIs not affected at all</t>
  </si>
  <si>
    <t>Is only affected by BC?</t>
  </si>
  <si>
    <t>Is only affected by Non-BC?</t>
  </si>
  <si>
    <t>APIs only affected by breaking changes</t>
  </si>
  <si>
    <t>APIs only affected by non-breaking changes</t>
  </si>
  <si>
    <t>Affected by BC and Non-BC</t>
  </si>
  <si>
    <t>APIs affected by breaking changes and non-breaking changes</t>
  </si>
  <si>
    <t>Number of APIs</t>
  </si>
  <si>
    <t>Average number of changes</t>
  </si>
  <si>
    <t>Total number of endpoints</t>
  </si>
  <si>
    <t>Endpoint analysis</t>
  </si>
  <si>
    <t>Number of endpoints with breaking changes</t>
  </si>
  <si>
    <t>Number of endpoints with non-breaking changes</t>
  </si>
  <si>
    <t>Total number of breaking</t>
  </si>
  <si>
    <t>Number of breaking changes (type Change Type of Parameter)</t>
  </si>
  <si>
    <t>Number of breaking changes (type Combine Methods)</t>
  </si>
  <si>
    <t>Number of breaking changes (Split Methods type)</t>
  </si>
  <si>
    <t>Number of breaking changes (type Increase Number of Parameters)</t>
  </si>
  <si>
    <t>Number of breaking changes (Unsupport Request Method type)</t>
  </si>
  <si>
    <t>Number of breaking changes (Deleth Path type)</t>
  </si>
  <si>
    <t>Number of breaking changes (type Decrease Number of Parameters)</t>
  </si>
  <si>
    <t>Number of breaking changes (Modify Parameter Schema Type)</t>
  </si>
  <si>
    <t>Number of breaking changes (Modify Content Type Consume)</t>
  </si>
  <si>
    <t>Number of breaking changes (Modify Content Type Produce)</t>
  </si>
  <si>
    <t>Number of breaking changes (type Remove Status Code)</t>
  </si>
  <si>
    <t>Change analysis</t>
  </si>
  <si>
    <t>Number of breaking changes (Expose Data type)</t>
  </si>
  <si>
    <t>Number of breaking changes (Change Type of Return Value)</t>
  </si>
  <si>
    <t>Number of breaking changes( Rename Path)</t>
  </si>
  <si>
    <t>Total number non-breaking</t>
  </si>
  <si>
    <t>Number of non-breaking changes (Change Upper Bound of Parameter)</t>
  </si>
  <si>
    <t>Number of non-breaking changes  (Change lower Bound of Parameter)</t>
  </si>
  <si>
    <t>Number of non-breaking changes (Change Default Value of Parameter)</t>
  </si>
  <si>
    <t>Number of non-breaking changes (Rename Parameter)</t>
  </si>
  <si>
    <t>Number of non-breaking changes (Add Status Code)</t>
  </si>
  <si>
    <t>Number of non-breaking changes (Remove restricted access to the API)</t>
  </si>
  <si>
    <t>Number of non-breaking changes (Add restricted access to the API)</t>
  </si>
  <si>
    <t>Number of non-breaking changes (Add Path)</t>
  </si>
  <si>
    <t>Overall average</t>
  </si>
  <si>
    <t>Number of endpoints with breaking</t>
  </si>
  <si>
    <t>Number of endpoints non-breaking</t>
  </si>
  <si>
    <t>%endpoints that change</t>
  </si>
  <si>
    <t>%endpoints that do not change</t>
  </si>
  <si>
    <t>Number of changes breaking (Change Type of Parameter)</t>
  </si>
  <si>
    <t>Number of changes breaking (Combine Methods)</t>
  </si>
  <si>
    <t>Number of changes breaking (Split Methods)</t>
  </si>
  <si>
    <t>Number of changes breaking (Increase Number of Parameters)</t>
  </si>
  <si>
    <t>Number of changes breaking (Unsupport Request Method)</t>
  </si>
  <si>
    <t>Number of changes breaking (Deleth Path)</t>
  </si>
  <si>
    <t>Number of changes breaking (Decrease Number of Parameters)</t>
  </si>
  <si>
    <t>Number of changes breaking (Modify Parameter Schema Type)</t>
  </si>
  <si>
    <t>Number of changes breaking (Modify Content Type Consume)</t>
  </si>
  <si>
    <t>Number of changes breaking (Modify Content Type Produce)</t>
  </si>
  <si>
    <t>Number of changes breaking (Remove Status Code)</t>
  </si>
  <si>
    <t>Number of changes breaking (Expose Data)</t>
  </si>
  <si>
    <t>Number of changes breaking (Change Type of Return Value)</t>
  </si>
  <si>
    <t>Number of changes breaking (Rename Path)</t>
  </si>
  <si>
    <t>Total number of non-breaking</t>
  </si>
  <si>
    <t>Number of changes non-breaking  (Change Upper Bound of Parameter)</t>
  </si>
  <si>
    <t>Number of changes non-breaking (Change lower Bound of Parameter)</t>
  </si>
  <si>
    <t>Number of changes non-breaking (Change Default Value of Parameter)</t>
  </si>
  <si>
    <t>Number of changes non-breaking (Rename Parameter)</t>
  </si>
  <si>
    <t>Number of changes non-breaking (Add Status Code)</t>
  </si>
  <si>
    <t>Number of changes non-breaking (Remove restricted access to the API)</t>
  </si>
  <si>
    <t>Number of changes non-breaking (Add restricted access to the API)</t>
  </si>
  <si>
    <t>Number of changes non-breaking (Add Path)</t>
  </si>
  <si>
    <t>Most repeated Breaking type change</t>
  </si>
  <si>
    <t>Frequency of the most frequently repeated Breaking type of change</t>
  </si>
  <si>
    <t>Non-Breaking type of change most frequently repeated</t>
  </si>
  <si>
    <t>Frequency of the most repeated Non-Breaking type changes</t>
  </si>
  <si>
    <t>Number of versiones</t>
  </si>
  <si>
    <t>Number of pair of versions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</si>
</sst>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0"/>
      <color rgb="FF000000"/>
      <name val="Arial"/>
    </font>
    <font>
      <b/>
      <sz val="10"/>
      <color theme="1"/>
      <name val="Arial"/>
    </font>
    <font>
      <b/>
      <sz val="10"/>
      <color rgb="FF000000"/>
      <name val="&quot;Trebuchet MS&quot;"/>
    </font>
    <font>
      <sz val="10"/>
      <color theme="1"/>
      <name val="Arial"/>
    </font>
    <font>
      <b/>
      <sz val="8"/>
      <color rgb="FF000000"/>
      <name val="&quot;Trebuchet MS&quot;"/>
    </font>
    <font>
      <sz val="8"/>
      <color rgb="FF000000"/>
      <name val="&quot;Trebuchet MS&quot;"/>
    </font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Times New Roman"/>
      <family val="1"/>
    </font>
    <font>
      <sz val="11"/>
      <color rgb="FF000000"/>
      <name val="Times New Roman"/>
      <family val="1"/>
    </font>
    <font>
      <sz val="8"/>
      <name val="Arial"/>
    </font>
    <font>
      <sz val="10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E69138"/>
        <bgColor rgb="FFE69138"/>
      </patternFill>
    </fill>
    <fill>
      <patternFill patternType="solid">
        <fgColor rgb="FF93C47D"/>
        <bgColor rgb="FF93C47D"/>
      </patternFill>
    </fill>
    <fill>
      <patternFill patternType="solid">
        <fgColor rgb="FF3D85C6"/>
        <bgColor rgb="FF3D85C6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rgb="FF3D85C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rgb="FF3D85C6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rgb="FFE69138"/>
      </patternFill>
    </fill>
    <fill>
      <patternFill patternType="solid">
        <fgColor theme="7" tint="0.39997558519241921"/>
        <bgColor rgb="FFE69138"/>
      </patternFill>
    </fill>
    <fill>
      <patternFill patternType="solid">
        <fgColor theme="7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6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0" fillId="0" borderId="1" xfId="0" applyFont="1" applyBorder="1" applyAlignment="1"/>
    <xf numFmtId="10" fontId="0" fillId="0" borderId="0" xfId="1" applyNumberFormat="1" applyFont="1" applyAlignment="1"/>
    <xf numFmtId="0" fontId="7" fillId="0" borderId="0" xfId="0" applyFont="1" applyAlignment="1"/>
    <xf numFmtId="10" fontId="0" fillId="0" borderId="0" xfId="0" applyNumberFormat="1" applyFont="1" applyAlignment="1"/>
    <xf numFmtId="0" fontId="0" fillId="0" borderId="0" xfId="0" applyFont="1" applyAlignment="1"/>
    <xf numFmtId="0" fontId="1" fillId="0" borderId="0" xfId="0" applyFont="1" applyFill="1" applyAlignment="1">
      <alignment vertical="center" wrapText="1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Fill="1" applyAlignment="1">
      <alignment vertical="center" wrapText="1"/>
    </xf>
    <xf numFmtId="2" fontId="0" fillId="0" borderId="0" xfId="0" applyNumberFormat="1" applyFont="1" applyAlignment="1"/>
    <xf numFmtId="0" fontId="10" fillId="0" borderId="0" xfId="0" applyFont="1" applyAlignment="1">
      <alignment horizontal="center" vertical="center"/>
    </xf>
    <xf numFmtId="0" fontId="7" fillId="10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8" fillId="7" borderId="0" xfId="0" applyFont="1" applyFill="1" applyAlignment="1"/>
    <xf numFmtId="0" fontId="11" fillId="11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0" fontId="0" fillId="0" borderId="1" xfId="1" applyNumberFormat="1" applyFont="1" applyBorder="1" applyAlignment="1"/>
    <xf numFmtId="0" fontId="9" fillId="0" borderId="0" xfId="0" applyFont="1" applyAlignment="1"/>
    <xf numFmtId="0" fontId="8" fillId="5" borderId="0" xfId="0" applyFont="1" applyFill="1" applyAlignment="1"/>
    <xf numFmtId="0" fontId="0" fillId="6" borderId="0" xfId="0" applyFont="1" applyFill="1" applyAlignment="1">
      <alignment horizontal="center"/>
    </xf>
    <xf numFmtId="0" fontId="11" fillId="12" borderId="0" xfId="0" applyFont="1" applyFill="1" applyAlignment="1">
      <alignment horizontal="center"/>
    </xf>
    <xf numFmtId="0" fontId="0" fillId="9" borderId="0" xfId="0" applyFont="1" applyFill="1" applyAlignment="1"/>
    <xf numFmtId="0" fontId="8" fillId="6" borderId="0" xfId="0" applyFont="1" applyFill="1" applyAlignment="1">
      <alignment horizontal="center"/>
    </xf>
    <xf numFmtId="0" fontId="2" fillId="13" borderId="0" xfId="0" applyFont="1" applyFill="1" applyAlignment="1">
      <alignment horizontal="center" vertical="center" wrapText="1"/>
    </xf>
    <xf numFmtId="0" fontId="4" fillId="13" borderId="0" xfId="0" applyFont="1" applyFill="1" applyAlignment="1">
      <alignment horizontal="center" vertical="center" wrapText="1"/>
    </xf>
    <xf numFmtId="0" fontId="0" fillId="14" borderId="0" xfId="0" applyFont="1" applyFill="1" applyAlignment="1"/>
    <xf numFmtId="0" fontId="7" fillId="14" borderId="1" xfId="0" applyFont="1" applyFill="1" applyBorder="1" applyAlignment="1"/>
    <xf numFmtId="0" fontId="8" fillId="0" borderId="1" xfId="0" applyFont="1" applyBorder="1" applyAlignment="1"/>
    <xf numFmtId="0" fontId="4" fillId="15" borderId="0" xfId="0" applyFont="1" applyFill="1" applyAlignment="1">
      <alignment horizontal="center" vertical="center" wrapText="1"/>
    </xf>
    <xf numFmtId="0" fontId="7" fillId="5" borderId="1" xfId="0" applyFont="1" applyFill="1" applyBorder="1" applyAlignment="1"/>
    <xf numFmtId="0" fontId="8" fillId="6" borderId="0" xfId="0" applyFont="1" applyFill="1" applyAlignment="1"/>
    <xf numFmtId="0" fontId="11" fillId="16" borderId="1" xfId="0" applyFont="1" applyFill="1" applyBorder="1" applyAlignment="1"/>
    <xf numFmtId="10" fontId="0" fillId="0" borderId="1" xfId="0" applyNumberFormat="1" applyFont="1" applyBorder="1" applyAlignment="1"/>
    <xf numFmtId="0" fontId="12" fillId="19" borderId="1" xfId="0" applyFont="1" applyFill="1" applyBorder="1" applyAlignment="1"/>
    <xf numFmtId="0" fontId="3" fillId="0" borderId="1" xfId="0" applyFont="1" applyBorder="1" applyAlignment="1"/>
    <xf numFmtId="0" fontId="8" fillId="0" borderId="1" xfId="0" applyNumberFormat="1" applyFont="1" applyBorder="1" applyAlignment="1"/>
    <xf numFmtId="0" fontId="7" fillId="14" borderId="0" xfId="0" applyFont="1" applyFill="1" applyAlignment="1">
      <alignment horizontal="center"/>
    </xf>
    <xf numFmtId="0" fontId="0" fillId="0" borderId="0" xfId="0" applyFont="1" applyAlignment="1"/>
    <xf numFmtId="0" fontId="13" fillId="7" borderId="1" xfId="0" applyFont="1" applyFill="1" applyBorder="1" applyAlignment="1">
      <alignment horizontal="center"/>
    </xf>
    <xf numFmtId="0" fontId="14" fillId="0" borderId="1" xfId="0" applyFont="1" applyBorder="1" applyAlignment="1"/>
    <xf numFmtId="0" fontId="7" fillId="14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16" fillId="0" borderId="0" xfId="0" applyFont="1" applyAlignment="1"/>
    <xf numFmtId="0" fontId="4" fillId="4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0" borderId="0" xfId="0" applyFont="1" applyAlignment="1"/>
    <xf numFmtId="0" fontId="2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0" fillId="10" borderId="0" xfId="0" applyFont="1" applyFill="1" applyAlignment="1"/>
    <xf numFmtId="0" fontId="2" fillId="18" borderId="0" xfId="0" applyFont="1" applyFill="1" applyAlignment="1">
      <alignment horizontal="center" vertical="center" wrapText="1"/>
    </xf>
    <xf numFmtId="0" fontId="0" fillId="5" borderId="0" xfId="0" applyFont="1" applyFill="1" applyAlignment="1"/>
    <xf numFmtId="0" fontId="2" fillId="4" borderId="0" xfId="0" applyFont="1" applyFill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BB6BE"/>
      <color rgb="FF30B2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pattFill prst="dkVert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</c:spPr>
          <c:dPt>
            <c:idx val="0"/>
            <c:bubble3D val="0"/>
            <c:spPr>
              <a:pattFill prst="ltHorz">
                <a:fgClr>
                  <a:schemeClr val="tx2">
                    <a:lumMod val="65000"/>
                    <a:lumOff val="35000"/>
                  </a:schemeClr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96-4B5B-AD09-3F6975DA1954}"/>
              </c:ext>
            </c:extLst>
          </c:dPt>
          <c:dPt>
            <c:idx val="1"/>
            <c:bubble3D val="0"/>
            <c:spPr>
              <a:pattFill prst="dkVert">
                <a:fgClr>
                  <a:schemeClr val="tx2">
                    <a:lumMod val="65000"/>
                    <a:lumOff val="35000"/>
                  </a:schemeClr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96-4B5B-AD09-3F6975DA1954}"/>
              </c:ext>
            </c:extLst>
          </c:dPt>
          <c:dLbls>
            <c:dLbl>
              <c:idx val="0"/>
              <c:layout>
                <c:manualLayout>
                  <c:x val="0.20169105266519416"/>
                  <c:y val="-5.725311440161973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96-4B5B-AD09-3F6975DA1954}"/>
                </c:ext>
              </c:extLst>
            </c:dLbl>
            <c:dLbl>
              <c:idx val="1"/>
              <c:layout>
                <c:manualLayout>
                  <c:x val="-0.26067178413519249"/>
                  <c:y val="3.461462532227659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96-4B5B-AD09-3F6975DA1954}"/>
                </c:ext>
              </c:extLst>
            </c:dLbl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RQ1_1!$F$1:$G$1</c:f>
              <c:strCache>
                <c:ptCount val="2"/>
                <c:pt idx="0">
                  <c:v>Not affected APIs</c:v>
                </c:pt>
                <c:pt idx="1">
                  <c:v>Affected APIs</c:v>
                </c:pt>
              </c:strCache>
            </c:strRef>
          </c:cat>
          <c:val>
            <c:numRef>
              <c:f>RQ1_1!$F$2:$G$2</c:f>
              <c:numCache>
                <c:formatCode>General</c:formatCode>
                <c:ptCount val="2"/>
                <c:pt idx="0">
                  <c:v>68</c:v>
                </c:pt>
                <c:pt idx="1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96-4B5B-AD09-3F6975DA195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0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08312014447011"/>
          <c:y val="0.89826359570018899"/>
          <c:w val="0.7088047175975738"/>
          <c:h val="5.40453692487776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pattFill prst="wdDnDiag">
              <a:fgClr>
                <a:schemeClr val="tx1">
                  <a:lumMod val="65000"/>
                  <a:lumOff val="35000"/>
                </a:schemeClr>
              </a:fgClr>
              <a:bgClr>
                <a:schemeClr val="bg1"/>
              </a:bgClr>
            </a:pattFill>
          </c:spPr>
          <c:dPt>
            <c:idx val="0"/>
            <c:bubble3D val="0"/>
            <c:spPr>
              <a:pattFill prst="dkVert">
                <a:fgClr>
                  <a:schemeClr val="tx1">
                    <a:lumMod val="65000"/>
                    <a:lumOff val="35000"/>
                  </a:schemeClr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A8-4100-8763-BA00451756F6}"/>
              </c:ext>
            </c:extLst>
          </c:dPt>
          <c:dPt>
            <c:idx val="1"/>
            <c:bubble3D val="0"/>
            <c:spPr>
              <a:pattFill prst="ltHorz">
                <a:fgClr>
                  <a:schemeClr val="tx1">
                    <a:lumMod val="65000"/>
                    <a:lumOff val="35000"/>
                  </a:schemeClr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A8-4100-8763-BA00451756F6}"/>
              </c:ext>
            </c:extLst>
          </c:dPt>
          <c:dLbls>
            <c:dLbl>
              <c:idx val="0"/>
              <c:layout>
                <c:manualLayout>
                  <c:x val="-0.15844812570030317"/>
                  <c:y val="0.1771756913429807"/>
                </c:manualLayout>
              </c:layout>
              <c:tx>
                <c:rich>
                  <a:bodyPr/>
                  <a:lstStyle/>
                  <a:p>
                    <a:fld id="{ACCBDF4B-DCDC-4D64-9F51-8591A1C920C3}" type="VALU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2A8-4100-8763-BA00451756F6}"/>
                </c:ext>
              </c:extLst>
            </c:dLbl>
            <c:dLbl>
              <c:idx val="1"/>
              <c:layout>
                <c:manualLayout>
                  <c:x val="0.17483392014798524"/>
                  <c:y val="-0.16176358073450184"/>
                </c:manualLayout>
              </c:layout>
              <c:tx>
                <c:rich>
                  <a:bodyPr/>
                  <a:lstStyle/>
                  <a:p>
                    <a:fld id="{BFB90CFF-1335-497E-946A-6178523CB62E}" type="VALUE"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2A8-4100-8763-BA00451756F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RQ1_3!$I$1:$J$1</c:f>
              <c:strCache>
                <c:ptCount val="2"/>
                <c:pt idx="0">
                  <c:v>Avg % endpoints that change</c:v>
                </c:pt>
                <c:pt idx="1">
                  <c:v>Avg % endpoints that do not change</c:v>
                </c:pt>
              </c:strCache>
            </c:strRef>
          </c:cat>
          <c:val>
            <c:numRef>
              <c:f>RQ1_3!$I$2:$J$2</c:f>
              <c:numCache>
                <c:formatCode>0.00%</c:formatCode>
                <c:ptCount val="2"/>
                <c:pt idx="0">
                  <c:v>0.19513899195854784</c:v>
                </c:pt>
                <c:pt idx="1">
                  <c:v>0.80486100804145222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6-47CB-ADD0-7CECC231E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20768777623386978"/>
          <c:y val="0.75204991441269997"/>
          <c:w val="0.62143324846804093"/>
          <c:h val="0.2479500855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'RQ2'!$AH$9</c:f>
              <c:strCache>
                <c:ptCount val="1"/>
                <c:pt idx="0">
                  <c:v>APIs with this change as the most recurring 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'RQ2'!$AG$10:$AG$14</c:f>
              <c:strCache>
                <c:ptCount val="5"/>
                <c:pt idx="0">
                  <c:v>Change Type of Return Value</c:v>
                </c:pt>
                <c:pt idx="1">
                  <c:v>Decrease Number of Parameters</c:v>
                </c:pt>
                <c:pt idx="2">
                  <c:v>Increase Number of Parameters</c:v>
                </c:pt>
                <c:pt idx="3">
                  <c:v>Modify Content Type Consume</c:v>
                </c:pt>
                <c:pt idx="4">
                  <c:v>Remove Status Code</c:v>
                </c:pt>
              </c:strCache>
            </c:strRef>
          </c:cat>
          <c:val>
            <c:numRef>
              <c:f>'RQ2'!$AH$10:$AH$14</c:f>
              <c:numCache>
                <c:formatCode>General</c:formatCode>
                <c:ptCount val="5"/>
                <c:pt idx="0">
                  <c:v>1</c:v>
                </c:pt>
                <c:pt idx="1">
                  <c:v>27</c:v>
                </c:pt>
                <c:pt idx="2">
                  <c:v>36</c:v>
                </c:pt>
                <c:pt idx="3">
                  <c:v>2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0-4698-9619-F0710BCEE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72127647"/>
        <c:axId val="1272128895"/>
      </c:barChart>
      <c:catAx>
        <c:axId val="12721276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72128895"/>
        <c:crosses val="autoZero"/>
        <c:auto val="1"/>
        <c:lblAlgn val="ctr"/>
        <c:lblOffset val="100"/>
        <c:noMultiLvlLbl val="0"/>
      </c:catAx>
      <c:valAx>
        <c:axId val="127212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APIs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7212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'RQ2'!$AH$16</c:f>
              <c:strCache>
                <c:ptCount val="1"/>
                <c:pt idx="0">
                  <c:v>APIs with this change as the most recurring 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'RQ2'!$AG$17:$AG$20</c:f>
              <c:strCache>
                <c:ptCount val="4"/>
                <c:pt idx="0">
                  <c:v>Add Path</c:v>
                </c:pt>
                <c:pt idx="1">
                  <c:v>Add Status Code</c:v>
                </c:pt>
                <c:pt idx="2">
                  <c:v>Remove Restricted Access to the API</c:v>
                </c:pt>
                <c:pt idx="3">
                  <c:v>Rename Parameter</c:v>
                </c:pt>
              </c:strCache>
            </c:strRef>
          </c:cat>
          <c:val>
            <c:numRef>
              <c:f>'RQ2'!$AH$17:$AH$20</c:f>
              <c:numCache>
                <c:formatCode>General</c:formatCode>
                <c:ptCount val="4"/>
                <c:pt idx="0">
                  <c:v>42</c:v>
                </c:pt>
                <c:pt idx="1">
                  <c:v>4</c:v>
                </c:pt>
                <c:pt idx="2">
                  <c:v>1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23C-A2AB-3F8EB189D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81452815"/>
        <c:axId val="281453231"/>
      </c:barChart>
      <c:catAx>
        <c:axId val="2814528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81453231"/>
        <c:crosses val="autoZero"/>
        <c:auto val="1"/>
        <c:lblAlgn val="ctr"/>
        <c:lblOffset val="100"/>
        <c:noMultiLvlLbl val="0"/>
      </c:catAx>
      <c:valAx>
        <c:axId val="281453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APIs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8145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RQ3_1!$K$1</c:f>
              <c:strCache>
                <c:ptCount val="1"/>
                <c:pt idx="0">
                  <c:v>Breaking changes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3311148086522462"/>
                  <c:y val="-0.636749433517463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RQ3_1!$J$2:$J$22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RQ3_1!$K$2:$K$22</c:f>
              <c:numCache>
                <c:formatCode>General</c:formatCode>
                <c:ptCount val="21"/>
                <c:pt idx="0">
                  <c:v>690</c:v>
                </c:pt>
                <c:pt idx="1">
                  <c:v>182</c:v>
                </c:pt>
                <c:pt idx="2">
                  <c:v>143</c:v>
                </c:pt>
                <c:pt idx="3">
                  <c:v>41</c:v>
                </c:pt>
                <c:pt idx="4">
                  <c:v>33</c:v>
                </c:pt>
                <c:pt idx="5">
                  <c:v>13</c:v>
                </c:pt>
                <c:pt idx="6">
                  <c:v>7</c:v>
                </c:pt>
                <c:pt idx="7">
                  <c:v>12</c:v>
                </c:pt>
                <c:pt idx="8">
                  <c:v>30</c:v>
                </c:pt>
                <c:pt idx="9">
                  <c:v>6</c:v>
                </c:pt>
                <c:pt idx="10">
                  <c:v>0</c:v>
                </c:pt>
                <c:pt idx="11">
                  <c:v>20</c:v>
                </c:pt>
                <c:pt idx="12">
                  <c:v>10</c:v>
                </c:pt>
                <c:pt idx="13">
                  <c:v>69</c:v>
                </c:pt>
                <c:pt idx="14">
                  <c:v>24</c:v>
                </c:pt>
                <c:pt idx="15">
                  <c:v>6</c:v>
                </c:pt>
                <c:pt idx="16">
                  <c:v>0</c:v>
                </c:pt>
                <c:pt idx="17">
                  <c:v>61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09-4185-A63C-18ABE6EFF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79536"/>
        <c:axId val="337379952"/>
      </c:scatterChart>
      <c:valAx>
        <c:axId val="33737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9952"/>
        <c:crosses val="autoZero"/>
        <c:crossBetween val="midCat"/>
      </c:valAx>
      <c:valAx>
        <c:axId val="3373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RQ3_1!$K$1</c:f>
              <c:strCache>
                <c:ptCount val="1"/>
                <c:pt idx="0">
                  <c:v>Breaking changes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RQ3_1!$J$2:$J$22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RQ3_1!$K$2:$K$22</c:f>
              <c:numCache>
                <c:formatCode>General</c:formatCode>
                <c:ptCount val="21"/>
                <c:pt idx="0">
                  <c:v>690</c:v>
                </c:pt>
                <c:pt idx="1">
                  <c:v>182</c:v>
                </c:pt>
                <c:pt idx="2">
                  <c:v>143</c:v>
                </c:pt>
                <c:pt idx="3">
                  <c:v>41</c:v>
                </c:pt>
                <c:pt idx="4">
                  <c:v>33</c:v>
                </c:pt>
                <c:pt idx="5">
                  <c:v>13</c:v>
                </c:pt>
                <c:pt idx="6">
                  <c:v>7</c:v>
                </c:pt>
                <c:pt idx="7">
                  <c:v>12</c:v>
                </c:pt>
                <c:pt idx="8">
                  <c:v>30</c:v>
                </c:pt>
                <c:pt idx="9">
                  <c:v>6</c:v>
                </c:pt>
                <c:pt idx="10">
                  <c:v>0</c:v>
                </c:pt>
                <c:pt idx="11">
                  <c:v>20</c:v>
                </c:pt>
                <c:pt idx="12">
                  <c:v>10</c:v>
                </c:pt>
                <c:pt idx="13">
                  <c:v>69</c:v>
                </c:pt>
                <c:pt idx="14">
                  <c:v>24</c:v>
                </c:pt>
                <c:pt idx="15">
                  <c:v>6</c:v>
                </c:pt>
                <c:pt idx="16">
                  <c:v>0</c:v>
                </c:pt>
                <c:pt idx="17">
                  <c:v>61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C0-403E-94CF-5267DBDA09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95400591"/>
        <c:axId val="1570692159"/>
      </c:scatterChart>
      <c:valAx>
        <c:axId val="29540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Pairs of</a:t>
                </a:r>
                <a:r>
                  <a:rPr lang="en-US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versions</a:t>
                </a:r>
                <a:endParaRPr lang="en-US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570692159"/>
        <c:crosses val="autoZero"/>
        <c:crossBetween val="midCat"/>
      </c:valAx>
      <c:valAx>
        <c:axId val="157069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Breaking changes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540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RQ3_1!$N$2:$N$22</c:f>
              <c:numCache>
                <c:formatCode>General</c:formatCode>
                <c:ptCount val="21"/>
                <c:pt idx="0">
                  <c:v>225</c:v>
                </c:pt>
                <c:pt idx="1">
                  <c:v>133</c:v>
                </c:pt>
                <c:pt idx="2">
                  <c:v>79</c:v>
                </c:pt>
                <c:pt idx="3">
                  <c:v>51</c:v>
                </c:pt>
                <c:pt idx="4">
                  <c:v>41</c:v>
                </c:pt>
                <c:pt idx="5">
                  <c:v>31</c:v>
                </c:pt>
                <c:pt idx="6">
                  <c:v>28</c:v>
                </c:pt>
                <c:pt idx="7">
                  <c:v>27</c:v>
                </c:pt>
                <c:pt idx="8">
                  <c:v>21</c:v>
                </c:pt>
                <c:pt idx="9">
                  <c:v>19</c:v>
                </c:pt>
                <c:pt idx="10">
                  <c:v>18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13</c:v>
                </c:pt>
                <c:pt idx="16">
                  <c:v>12</c:v>
                </c:pt>
                <c:pt idx="17">
                  <c:v>10</c:v>
                </c:pt>
                <c:pt idx="18">
                  <c:v>8</c:v>
                </c:pt>
                <c:pt idx="19">
                  <c:v>5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E1-4DB8-A288-9B04BB6363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35741360"/>
        <c:axId val="1035745104"/>
      </c:barChart>
      <c:catAx>
        <c:axId val="103574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Pairs</a:t>
                </a:r>
                <a:r>
                  <a:rPr lang="en-US" sz="105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of versions</a:t>
                </a:r>
                <a:endParaRPr lang="en-US" sz="105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745104"/>
        <c:crosses val="autoZero"/>
        <c:auto val="1"/>
        <c:lblAlgn val="ctr"/>
        <c:lblOffset val="100"/>
        <c:noMultiLvlLbl val="0"/>
      </c:catAx>
      <c:valAx>
        <c:axId val="10357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5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APIs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7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azure.com:apimanagement-apimapis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RQ3_2!$F$2:$G$3</c:f>
              <c:multiLvlStrCache>
                <c:ptCount val="2"/>
                <c:lvl>
                  <c:pt idx="0">
                    <c:v>2018-06-01-preview-2019-01-01</c:v>
                  </c:pt>
                  <c:pt idx="1">
                    <c:v>2019-01-01-2019-12-01-preview</c:v>
                  </c:pt>
                </c:lvl>
                <c:lvl>
                  <c:pt idx="0">
                    <c:v>azure.com:apimanagement-apimapis</c:v>
                  </c:pt>
                </c:lvl>
              </c:multiLvlStrCache>
            </c:multiLvlStrRef>
          </c:cat>
          <c:val>
            <c:numRef>
              <c:f>RQ3_2!$H$2:$H$3</c:f>
              <c:numCache>
                <c:formatCode>General</c:formatCode>
                <c:ptCount val="2"/>
                <c:pt idx="0">
                  <c:v>11</c:v>
                </c:pt>
                <c:pt idx="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3F8-405D-AA55-5D189A184C06}"/>
            </c:ext>
          </c:extLst>
        </c:ser>
        <c:ser>
          <c:idx val="0"/>
          <c:order val="1"/>
          <c:tx>
            <c:v>azure.com:apimanagement-apimsubscriptions</c:v>
          </c:tx>
          <c:spPr>
            <a:ln w="28575" cap="rnd" cmpd="sng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RQ3_2!$F$4:$G$5</c:f>
              <c:multiLvlStrCache>
                <c:ptCount val="2"/>
                <c:lvl>
                  <c:pt idx="0">
                    <c:v>2018-06-01-preview-2019-01-01</c:v>
                  </c:pt>
                  <c:pt idx="1">
                    <c:v>2019-01-01-2019-12-01-preview</c:v>
                  </c:pt>
                </c:lvl>
                <c:lvl>
                  <c:pt idx="0">
                    <c:v>azure.com:apimanagement-apimsubscriptions</c:v>
                  </c:pt>
                </c:lvl>
              </c:multiLvlStrCache>
            </c:multiLvlStrRef>
          </c:cat>
          <c:val>
            <c:numRef>
              <c:f>RQ3_2!$H$4:$H$5</c:f>
              <c:numCache>
                <c:formatCode>General</c:formatCode>
                <c:ptCount val="2"/>
                <c:pt idx="0">
                  <c:v>2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3F8-405D-AA55-5D189A184C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5216703"/>
        <c:axId val="1265220863"/>
      </c:lineChart>
      <c:catAx>
        <c:axId val="1265216703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2018-06-01-preview-2019-01-01</a:t>
                </a:r>
                <a:r>
                  <a:rPr lang="en-US" sz="1100" b="1" i="0" u="none" strike="noStrike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                             </a:t>
                </a:r>
                <a:r>
                  <a:rPr lang="en-US" sz="1100" b="0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2019-01-01-2019-12-01-preview</a:t>
                </a:r>
                <a:r>
                  <a:rPr lang="en-US" sz="1100" b="1" i="0" u="none" strike="noStrike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  </a:t>
                </a:r>
                <a:endParaRPr lang="en-US" sz="1100" b="0">
                  <a:solidFill>
                    <a:schemeClr val="accent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5220863"/>
        <c:crosses val="autoZero"/>
        <c:auto val="0"/>
        <c:lblAlgn val="ctr"/>
        <c:lblOffset val="100"/>
        <c:noMultiLvlLbl val="0"/>
      </c:catAx>
      <c:valAx>
        <c:axId val="126522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breaking changes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16703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</cx:chartData>
  <cx:chart>
    <cx:plotArea>
      <cx:plotAreaRegion>
        <cx:series layoutId="boxWhisker" uniqueId="{2A7599FF-3965-4E9A-81D4-4CD8BDA93EC0}">
          <cx:tx>
            <cx:txData>
              <cx:f>_xlchart.v1.0</cx:f>
              <cx:v>Breaking changes</cx:v>
            </cx:txData>
          </cx:tx>
          <cx:spPr>
            <a:pattFill prst="dkVert">
              <a:fgClr>
                <a:schemeClr val="tx1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65000"/>
                  <a:lumOff val="35000"/>
                </a:schemeClr>
              </a:solidFill>
            </a:ln>
          </cx:spPr>
          <cx:dataId val="0"/>
          <cx:layoutPr>
            <cx:visibility meanLine="1" meanMarker="1" nonoutliers="0" outliers="1"/>
            <cx:statistics quartileMethod="exclusive"/>
          </cx:layoutPr>
        </cx:series>
        <cx:series layoutId="boxWhisker" uniqueId="{A7221930-99E4-456C-B57C-1F8305E0930D}">
          <cx:tx>
            <cx:txData>
              <cx:f>_xlchart.v1.2</cx:f>
              <cx:v>Non-breaking changes</cx:v>
            </cx:txData>
          </cx:tx>
          <cx:spPr>
            <a:pattFill prst="pct75">
              <a:fgClr>
                <a:schemeClr val="tx1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>
              <a:softEdge rad="0"/>
            </a:effectLst>
          </cx:spPr>
          <cx:dataId val="1"/>
          <cx:layoutPr>
            <cx:visibility meanLine="1" meanMarker="1" nonoutliers="0" outliers="1"/>
            <cx:statistics quartileMethod="exclusive"/>
          </cx:layoutPr>
        </cx:series>
        <cx:series layoutId="boxWhisker" uniqueId="{443D7955-4DCB-414C-BA30-04F66FB4C583}">
          <cx:tx>
            <cx:txData>
              <cx:f>_xlchart.v1.4</cx:f>
              <cx:v>Average number of changes</cx:v>
            </cx:txData>
          </cx:tx>
          <cx:spPr>
            <a:pattFill prst="wdUpDiag">
              <a:fgClr>
                <a:schemeClr val="tx1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65000"/>
                  <a:lumOff val="35000"/>
                </a:schemeClr>
              </a:solidFill>
            </a:ln>
          </cx:spPr>
          <cx:dataId val="2"/>
          <cx:layoutPr>
            <cx:visibility meanLine="1" meanMarker="1" nonoutliers="0" outliers="1"/>
            <cx:statistics quartileMethod="exclusive"/>
          </cx:layoutPr>
        </cx:series>
      </cx:plotAreaRegion>
      <cx:axis id="0" hidden="1">
        <cx:catScaling gapWidth="0.200000003"/>
        <cx:tickLabels/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 sz="1200" b="0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en-US" sz="1200" b="0" i="0" u="none" strike="noStrike" baseline="0">
            <a:solidFill>
              <a:srgbClr val="000000">
                <a:lumMod val="65000"/>
                <a:lumOff val="35000"/>
              </a:srgb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6_5">
  <dgm:title val=""/>
  <dgm:desc val=""/>
  <dgm:catLst>
    <dgm:cat type="accent6" pri="11500"/>
  </dgm:catLst>
  <dgm:styleLbl name="node0">
    <dgm:fillClrLst meth="cycle">
      <a:schemeClr val="accent6">
        <a:alpha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6">
        <a:alpha val="90000"/>
      </a:schemeClr>
      <a:schemeClr val="accent6">
        <a:alpha val="5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/>
    <dgm:txEffectClrLst/>
  </dgm:styleLbl>
  <dgm:styleLbl name="node1">
    <dgm:fillClrLst>
      <a:schemeClr val="accent6">
        <a:alpha val="9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6">
        <a:shade val="90000"/>
      </a:schemeClr>
      <a:schemeClr val="accent6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6">
        <a:shade val="80000"/>
        <a:alpha val="50000"/>
      </a:schemeClr>
      <a:schemeClr val="accent6">
        <a:alpha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>
        <a:alpha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>
        <a:alpha val="3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6">
        <a:tint val="50000"/>
        <a:alpha val="90000"/>
      </a:schemeClr>
      <a:schemeClr val="accent6">
        <a:tint val="20000"/>
        <a:alpha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6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6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6">
        <a:shade val="90000"/>
      </a:schemeClr>
      <a:schemeClr val="accent6">
        <a:tint val="50000"/>
      </a:schemeClr>
    </dgm:fillClrLst>
    <dgm:linClrLst>
      <a:schemeClr val="accent6">
        <a:shade val="90000"/>
      </a:schemeClr>
      <a:schemeClr val="accent6">
        <a:tint val="50000"/>
      </a:schemeClr>
    </dgm:linClrLst>
    <dgm:effectClrLst/>
    <dgm:txLinClrLst/>
    <dgm:txFillClrLst/>
    <dgm:txEffectClrLst/>
  </dgm:styleLbl>
  <dgm:styleLbl name="fgSibTrans2D1">
    <dgm:fillClrLst>
      <a:schemeClr val="accent6">
        <a:shade val="90000"/>
      </a:schemeClr>
      <a:schemeClr val="accent6">
        <a:tint val="50000"/>
      </a:schemeClr>
    </dgm:fillClrLst>
    <dgm:linClrLst>
      <a:schemeClr val="accent6">
        <a:shade val="90000"/>
      </a:schemeClr>
      <a:schemeClr val="accent6">
        <a:tint val="50000"/>
      </a:schemeClr>
    </dgm:linClrLst>
    <dgm:effectClrLst/>
    <dgm:txLinClrLst/>
    <dgm:txFillClrLst/>
    <dgm:txEffectClrLst/>
  </dgm:styleLbl>
  <dgm:styleLbl name="bgSibTrans2D1">
    <dgm:fillClrLst>
      <a:schemeClr val="accent6">
        <a:shade val="90000"/>
      </a:schemeClr>
      <a:schemeClr val="accent6">
        <a:tint val="50000"/>
      </a:schemeClr>
    </dgm:fillClrLst>
    <dgm:linClrLst>
      <a:schemeClr val="accent6">
        <a:shade val="90000"/>
      </a:schemeClr>
      <a:schemeClr val="accent6">
        <a:tint val="50000"/>
      </a:schemeClr>
    </dgm:linClrLst>
    <dgm:effectClrLst/>
    <dgm:txLinClrLst/>
    <dgm:txFillClrLst/>
    <dgm:txEffectClrLst/>
  </dgm:styleLbl>
  <dgm:styleLbl name="sibTrans1D1">
    <dgm:fillClrLst>
      <a:schemeClr val="accent6">
        <a:shade val="90000"/>
      </a:schemeClr>
      <a:schemeClr val="accent6">
        <a:tint val="50000"/>
      </a:schemeClr>
    </dgm:fillClrLst>
    <dgm:linClrLst>
      <a:schemeClr val="accent6">
        <a:shade val="90000"/>
      </a:schemeClr>
      <a:schemeClr val="accent6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6"/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6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6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6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>
        <a:alpha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6">
        <a:shade val="80000"/>
      </a:schemeClr>
    </dgm:fillClrLst>
    <dgm:linClrLst meth="repeat">
      <a:schemeClr val="accent6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6">
        <a:tint val="90000"/>
      </a:schemeClr>
    </dgm:fillClrLst>
    <dgm:linClrLst meth="repeat">
      <a:schemeClr val="accent6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6">
        <a:tint val="70000"/>
      </a:schemeClr>
    </dgm:fillClrLst>
    <dgm:linClrLst meth="repeat">
      <a:schemeClr val="accent6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6">
        <a:tint val="50000"/>
      </a:schemeClr>
    </dgm:fillClrLst>
    <dgm:linClrLst meth="repeat">
      <a:schemeClr val="accent6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6">
        <a:shade val="80000"/>
      </a:schemeClr>
    </dgm:fillClrLst>
    <dgm:linClrLst meth="repeat">
      <a:schemeClr val="accent6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6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6">
        <a:alpha val="90000"/>
      </a:schemeClr>
      <a:schemeClr val="accent6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6">
        <a:alpha val="90000"/>
        <a:tint val="40000"/>
      </a:schemeClr>
      <a:schemeClr val="accent6">
        <a:alpha val="50000"/>
        <a:tint val="40000"/>
      </a:schemeClr>
    </dgm:fillClrLst>
    <dgm:linClrLst meth="repeat">
      <a:schemeClr val="accent6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6">
        <a:alpha val="90000"/>
        <a:tint val="40000"/>
      </a:schemeClr>
    </dgm:fillClrLst>
    <dgm:linClrLst meth="repeat">
      <a:schemeClr val="accent6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6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6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6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6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6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6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6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6">
        <a:tint val="50000"/>
        <a:alpha val="40000"/>
      </a:schemeClr>
    </dgm:fillClrLst>
    <dgm:linClrLst meth="repeat">
      <a:schemeClr val="accent6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6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58505E1-5590-4B99-BE1C-2516D65F1C64}" type="doc">
      <dgm:prSet loTypeId="urn:microsoft.com/office/officeart/2005/8/layout/radial3" loCatId="relationship" qsTypeId="urn:microsoft.com/office/officeart/2005/8/quickstyle/simple4" qsCatId="simple" csTypeId="urn:microsoft.com/office/officeart/2005/8/colors/accent6_5" csCatId="accent6" phldr="1"/>
      <dgm:spPr/>
      <dgm:t>
        <a:bodyPr/>
        <a:lstStyle/>
        <a:p>
          <a:endParaRPr lang="en-US"/>
        </a:p>
      </dgm:t>
    </dgm:pt>
    <dgm:pt modelId="{4153E79E-F33F-4B5F-9B0E-87C97BBDAD3E}">
      <dgm:prSet phldrT="[Text]" custT="1"/>
      <dgm:spPr/>
      <dgm:t>
        <a:bodyPr/>
        <a:lstStyle/>
        <a:p>
          <a:endParaRPr lang="en-US" sz="32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44FF041F-BE61-4025-AAFC-F6B53BC22E9B}" type="parTrans" cxnId="{632C2802-CC8D-498F-987D-65E75D353691}">
      <dgm:prSet/>
      <dgm:spPr/>
      <dgm:t>
        <a:bodyPr/>
        <a:lstStyle/>
        <a:p>
          <a:endParaRPr lang="en-US"/>
        </a:p>
      </dgm:t>
    </dgm:pt>
    <dgm:pt modelId="{5077F0D6-9EEE-4CCC-9D8F-69CD1FA1D074}" type="sibTrans" cxnId="{632C2802-CC8D-498F-987D-65E75D353691}">
      <dgm:prSet/>
      <dgm:spPr/>
      <dgm:t>
        <a:bodyPr/>
        <a:lstStyle/>
        <a:p>
          <a:endParaRPr lang="en-US"/>
        </a:p>
      </dgm:t>
    </dgm:pt>
    <dgm:pt modelId="{DA50C2A1-43A9-45B3-93E6-9188CE5EC5B0}">
      <dgm:prSet phldrT="[Text]" custT="1"/>
      <dgm:spPr>
        <a:gradFill rotWithShape="0">
          <a:gsLst>
            <a:gs pos="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satMod val="103000"/>
                <a:lumMod val="102000"/>
                <a:tint val="94000"/>
              </a:schemeClr>
            </a:gs>
            <a:gs pos="4700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satMod val="110000"/>
                <a:lumMod val="100000"/>
                <a:shade val="100000"/>
              </a:schemeClr>
            </a:gs>
            <a:gs pos="10000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lumMod val="99000"/>
                <a:satMod val="120000"/>
                <a:shade val="78000"/>
              </a:schemeClr>
            </a:gs>
          </a:gsLst>
        </a:gradFill>
      </dgm:spPr>
      <dgm:t>
        <a:bodyPr/>
        <a:lstStyle/>
        <a:p>
          <a:endParaRPr lang="en-US" sz="1800"/>
        </a:p>
      </dgm:t>
    </dgm:pt>
    <dgm:pt modelId="{DD304760-0A80-4142-B18C-4A97C28A3688}" type="parTrans" cxnId="{9A6D36C5-CA29-4879-A05F-6063976C457F}">
      <dgm:prSet/>
      <dgm:spPr/>
      <dgm:t>
        <a:bodyPr/>
        <a:lstStyle/>
        <a:p>
          <a:endParaRPr lang="en-US"/>
        </a:p>
      </dgm:t>
    </dgm:pt>
    <dgm:pt modelId="{E055C14F-11C9-417D-A7C1-0B30CFA3262C}" type="sibTrans" cxnId="{9A6D36C5-CA29-4879-A05F-6063976C457F}">
      <dgm:prSet/>
      <dgm:spPr/>
      <dgm:t>
        <a:bodyPr/>
        <a:lstStyle/>
        <a:p>
          <a:endParaRPr lang="en-US"/>
        </a:p>
      </dgm:t>
    </dgm:pt>
    <dgm:pt modelId="{4185F9FC-F94D-4650-A104-3756228D7351}" type="pres">
      <dgm:prSet presAssocID="{C58505E1-5590-4B99-BE1C-2516D65F1C64}" presName="composite" presStyleCnt="0">
        <dgm:presLayoutVars>
          <dgm:chMax val="1"/>
          <dgm:dir/>
          <dgm:resizeHandles val="exact"/>
        </dgm:presLayoutVars>
      </dgm:prSet>
      <dgm:spPr/>
    </dgm:pt>
    <dgm:pt modelId="{658B2F74-E48B-4BCB-8E99-61ECEA6EA091}" type="pres">
      <dgm:prSet presAssocID="{C58505E1-5590-4B99-BE1C-2516D65F1C64}" presName="radial" presStyleCnt="0">
        <dgm:presLayoutVars>
          <dgm:animLvl val="ctr"/>
        </dgm:presLayoutVars>
      </dgm:prSet>
      <dgm:spPr/>
    </dgm:pt>
    <dgm:pt modelId="{9F1E1D9F-1205-4881-83BE-289FFF80CDC1}" type="pres">
      <dgm:prSet presAssocID="{4153E79E-F33F-4B5F-9B0E-87C97BBDAD3E}" presName="centerShape" presStyleLbl="vennNode1" presStyleIdx="0" presStyleCnt="2" custLinFactNeighborX="-7227" custLinFactNeighborY="-11805"/>
      <dgm:spPr/>
    </dgm:pt>
    <dgm:pt modelId="{F191EF46-B7FA-4110-9120-930351BC5725}" type="pres">
      <dgm:prSet presAssocID="{DA50C2A1-43A9-45B3-93E6-9188CE5EC5B0}" presName="node" presStyleLbl="vennNode1" presStyleIdx="1" presStyleCnt="2" custScaleX="178395" custScaleY="178395" custRadScaleRad="26657" custRadScaleInc="1609">
        <dgm:presLayoutVars>
          <dgm:bulletEnabled val="1"/>
        </dgm:presLayoutVars>
      </dgm:prSet>
      <dgm:spPr/>
    </dgm:pt>
  </dgm:ptLst>
  <dgm:cxnLst>
    <dgm:cxn modelId="{632C2802-CC8D-498F-987D-65E75D353691}" srcId="{C58505E1-5590-4B99-BE1C-2516D65F1C64}" destId="{4153E79E-F33F-4B5F-9B0E-87C97BBDAD3E}" srcOrd="0" destOrd="0" parTransId="{44FF041F-BE61-4025-AAFC-F6B53BC22E9B}" sibTransId="{5077F0D6-9EEE-4CCC-9D8F-69CD1FA1D074}"/>
    <dgm:cxn modelId="{B2B17C25-26E8-460F-90DC-EE470E4DA46E}" type="presOf" srcId="{C58505E1-5590-4B99-BE1C-2516D65F1C64}" destId="{4185F9FC-F94D-4650-A104-3756228D7351}" srcOrd="0" destOrd="0" presId="urn:microsoft.com/office/officeart/2005/8/layout/radial3"/>
    <dgm:cxn modelId="{7BD10731-7D55-4640-818E-E661EA7697FB}" type="presOf" srcId="{DA50C2A1-43A9-45B3-93E6-9188CE5EC5B0}" destId="{F191EF46-B7FA-4110-9120-930351BC5725}" srcOrd="0" destOrd="0" presId="urn:microsoft.com/office/officeart/2005/8/layout/radial3"/>
    <dgm:cxn modelId="{9A6D36C5-CA29-4879-A05F-6063976C457F}" srcId="{4153E79E-F33F-4B5F-9B0E-87C97BBDAD3E}" destId="{DA50C2A1-43A9-45B3-93E6-9188CE5EC5B0}" srcOrd="0" destOrd="0" parTransId="{DD304760-0A80-4142-B18C-4A97C28A3688}" sibTransId="{E055C14F-11C9-417D-A7C1-0B30CFA3262C}"/>
    <dgm:cxn modelId="{E272E0F2-2D22-450D-8FA2-80F157B43DDF}" type="presOf" srcId="{4153E79E-F33F-4B5F-9B0E-87C97BBDAD3E}" destId="{9F1E1D9F-1205-4881-83BE-289FFF80CDC1}" srcOrd="0" destOrd="0" presId="urn:microsoft.com/office/officeart/2005/8/layout/radial3"/>
    <dgm:cxn modelId="{B9078640-0489-4E88-9618-1A4EB7CA1AA7}" type="presParOf" srcId="{4185F9FC-F94D-4650-A104-3756228D7351}" destId="{658B2F74-E48B-4BCB-8E99-61ECEA6EA091}" srcOrd="0" destOrd="0" presId="urn:microsoft.com/office/officeart/2005/8/layout/radial3"/>
    <dgm:cxn modelId="{B7249629-0B74-43AE-8DA8-D2182EB65EE7}" type="presParOf" srcId="{658B2F74-E48B-4BCB-8E99-61ECEA6EA091}" destId="{9F1E1D9F-1205-4881-83BE-289FFF80CDC1}" srcOrd="0" destOrd="0" presId="urn:microsoft.com/office/officeart/2005/8/layout/radial3"/>
    <dgm:cxn modelId="{B3A6C50A-0636-48DB-9E3A-249B1347EBF1}" type="presParOf" srcId="{658B2F74-E48B-4BCB-8E99-61ECEA6EA091}" destId="{F191EF46-B7FA-4110-9120-930351BC5725}" srcOrd="1" destOrd="0" presId="urn:microsoft.com/office/officeart/2005/8/layout/radial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F1E1D9F-1205-4881-83BE-289FFF80CDC1}">
      <dsp:nvSpPr>
        <dsp:cNvPr id="0" name=""/>
        <dsp:cNvSpPr/>
      </dsp:nvSpPr>
      <dsp:spPr>
        <a:xfrm>
          <a:off x="728639" y="85113"/>
          <a:ext cx="1815888" cy="1815888"/>
        </a:xfrm>
        <a:prstGeom prst="ellipse">
          <a:avLst/>
        </a:prstGeom>
        <a:gradFill rotWithShape="0">
          <a:gsLst>
            <a:gs pos="0">
              <a:schemeClr val="accent6">
                <a:shade val="80000"/>
                <a:alpha val="5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6">
                <a:shade val="80000"/>
                <a:alpha val="5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6">
                <a:shade val="80000"/>
                <a:alpha val="5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40640" tIns="40640" rIns="40640" bIns="40640" numCol="1" spcCol="1270" anchor="ctr" anchorCtr="0">
          <a:noAutofit/>
        </a:bodyPr>
        <a:lstStyle/>
        <a:p>
          <a:pPr marL="0" lvl="0" indent="0" algn="ctr" defTabSz="1422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3200" kern="1200">
            <a:latin typeface="Times New Roman" panose="02020603050405020304" pitchFamily="18" charset="0"/>
            <a:cs typeface="Times New Roman" panose="02020603050405020304" pitchFamily="18" charset="0"/>
          </a:endParaRPr>
        </a:p>
      </dsp:txBody>
      <dsp:txXfrm>
        <a:off x="994570" y="351044"/>
        <a:ext cx="1284026" cy="1284026"/>
      </dsp:txXfrm>
    </dsp:sp>
    <dsp:sp modelId="{F191EF46-B7FA-4110-9120-930351BC5725}">
      <dsp:nvSpPr>
        <dsp:cNvPr id="0" name=""/>
        <dsp:cNvSpPr/>
      </dsp:nvSpPr>
      <dsp:spPr>
        <a:xfrm>
          <a:off x="1310591" y="493773"/>
          <a:ext cx="1619727" cy="1619727"/>
        </a:xfrm>
        <a:prstGeom prst="ellipse">
          <a:avLst/>
        </a:prstGeom>
        <a:gradFill rotWithShape="0">
          <a:gsLst>
            <a:gs pos="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satMod val="103000"/>
                <a:lumMod val="102000"/>
                <a:tint val="94000"/>
              </a:schemeClr>
            </a:gs>
            <a:gs pos="4700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satMod val="110000"/>
                <a:lumMod val="100000"/>
                <a:shade val="100000"/>
              </a:schemeClr>
            </a:gs>
            <a:gs pos="100000">
              <a:schemeClr val="accent6">
                <a:shade val="80000"/>
                <a:alpha val="50000"/>
                <a:hueOff val="-35"/>
                <a:satOff val="4640"/>
                <a:lumOff val="5153"/>
                <a:alphaOff val="3000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800" kern="1200"/>
        </a:p>
      </dsp:txBody>
      <dsp:txXfrm>
        <a:off x="1547795" y="730977"/>
        <a:ext cx="1145319" cy="114531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radial3">
  <dgm:title val=""/>
  <dgm:desc val=""/>
  <dgm:catLst>
    <dgm:cat type="relationship" pri="31000"/>
    <dgm:cat type="cycle" pri="1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composite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onstrLst/>
    <dgm:ruleLst/>
    <dgm:layoutNode name="radial">
      <dgm:varLst>
        <dgm:animLvl val="ctr"/>
      </dgm:varLst>
      <dgm:choose name="Name0">
        <dgm:if name="Name1" func="var" arg="dir" op="equ" val="norm">
          <dgm:choose name="Name2">
            <dgm:if name="Name3" axis="ch ch" ptType="node node" st="1 1" cnt="1 0" func="cnt" op="lte" val="1">
              <dgm:alg type="cycle">
                <dgm:param type="stAng" val="90"/>
                <dgm:param type="spanAng" val="360"/>
                <dgm:param type="ctrShpMap" val="fNode"/>
              </dgm:alg>
            </dgm:if>
            <dgm:else name="Name4">
              <dgm:alg type="cycle">
                <dgm:param type="stAng" val="0"/>
                <dgm:param type="spanAng" val="360"/>
                <dgm:param type="ctrShpMap" val="fNode"/>
              </dgm:alg>
            </dgm:else>
          </dgm:choose>
        </dgm:if>
        <dgm:else name="Name5">
          <dgm:alg type="cycle">
            <dgm:param type="stAng" val="0"/>
            <dgm:param type="spanAng" val="-360"/>
            <dgm:param type="ctrShpMap" val="fNode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enterShape" refType="w"/>
        <dgm:constr type="h" for="ch" forName="centerShape" refType="h"/>
        <dgm:constr type="w" for="ch" forName="node" refType="w" fact="0.5"/>
        <dgm:constr type="h" for="ch" forName="node" refType="h" fact="0.5"/>
        <dgm:constr type="sp" refType="w" refFor="ch" refForName="node" fact="-0.2"/>
        <dgm:constr type="sibSp" refType="w" refFor="ch" refForName="node" fact="-0.2"/>
        <dgm:constr type="primFontSz" for="ch" forName="centerShape" val="65"/>
        <dgm:constr type="primFontSz" for="des" forName="node" val="65"/>
        <dgm:constr type="primFontSz" for="ch" forName="node" refType="primFontSz" refFor="ch" refForName="centerShape" op="lte"/>
      </dgm:constrLst>
      <dgm:ruleLst/>
      <dgm:forEach name="Name6" axis="ch" ptType="node" cnt="1">
        <dgm:layoutNode name="centerShape" styleLbl="vennNode1">
          <dgm:alg type="tx"/>
          <dgm:shape xmlns:r="http://schemas.openxmlformats.org/officeDocument/2006/relationships" type="ellipse" r:blip="">
            <dgm:adjLst/>
          </dgm:shape>
          <dgm:presOf axis="self"/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</dgm:constrLst>
          <dgm:ruleLst>
            <dgm:rule type="primFontSz" val="5" fact="NaN" max="NaN"/>
          </dgm:ruleLst>
        </dgm:layoutNode>
        <dgm:forEach name="Name7" axis="ch" ptType="node">
          <dgm:layoutNode name="node" styleLbl="venn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presOf axis="desOrSelf" ptType="node"/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437169</xdr:colOff>
      <xdr:row>4</xdr:row>
      <xdr:rowOff>127776</xdr:rowOff>
    </xdr:from>
    <xdr:to>
      <xdr:col>5</xdr:col>
      <xdr:colOff>1025085</xdr:colOff>
      <xdr:row>32</xdr:row>
      <xdr:rowOff>118013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083E1F-D069-4AA6-9DEF-9D6424CE92DA}"/>
            </a:ext>
          </a:extLst>
        </xdr:cNvPr>
        <xdr:cNvSpPr txBox="1"/>
      </xdr:nvSpPr>
      <xdr:spPr>
        <a:xfrm>
          <a:off x="6452487" y="755305"/>
          <a:ext cx="3263880" cy="43829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Sub affectedAPIs()</a:t>
          </a:r>
        </a:p>
        <a:p>
          <a:endParaRPr lang="en-US" sz="1000">
            <a:latin typeface="Consolas" panose="020B0609020204030204" pitchFamily="49" charset="0"/>
            <a:cs typeface="Courier New" panose="02070309020205020404" pitchFamily="49" charset="0"/>
          </a:endParaRP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currentAPI As String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currentAPI = ""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index As Integer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index = 2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changes As Integer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changes = 0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For i = 3 To 786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currentAPI = Sheet1.Cells(i, 1).Value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changes = changes + Sheet1.Cells(i, 6).Value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If currentAPI &lt;&gt; Sheet1.Cells(i + 1, 1).Value Then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Sheet6.Cells(index, 2).Value = changes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index = index + 1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changes = 0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End If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Next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End Sub</a:t>
          </a:r>
        </a:p>
        <a:p>
          <a:endParaRPr lang="en-US" sz="10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0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000">
            <a:latin typeface="Consolas" panose="020B06090202040302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5</xdr:col>
      <xdr:colOff>1356534</xdr:colOff>
      <xdr:row>8</xdr:row>
      <xdr:rowOff>120290</xdr:rowOff>
    </xdr:from>
    <xdr:to>
      <xdr:col>9</xdr:col>
      <xdr:colOff>32970</xdr:colOff>
      <xdr:row>31</xdr:row>
      <xdr:rowOff>141031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E98D6E-286D-4D3A-93F9-925A013AE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1105282</xdr:colOff>
      <xdr:row>8</xdr:row>
      <xdr:rowOff>126081</xdr:rowOff>
    </xdr:from>
    <xdr:to>
      <xdr:col>10</xdr:col>
      <xdr:colOff>2206798</xdr:colOff>
      <xdr:row>37</xdr:row>
      <xdr:rowOff>68692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2C4E1A-FA2E-47B7-8763-D0638017F7C9}"/>
            </a:ext>
          </a:extLst>
        </xdr:cNvPr>
        <xdr:cNvSpPr txBox="1"/>
      </xdr:nvSpPr>
      <xdr:spPr>
        <a:xfrm>
          <a:off x="18956976" y="1355113"/>
          <a:ext cx="3258467" cy="44101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Sub affectedAPIsBC()</a:t>
          </a:r>
        </a:p>
        <a:p>
          <a:endParaRPr lang="en-US" sz="1000">
            <a:latin typeface="Consolas" panose="020B0609020204030204" pitchFamily="49" charset="0"/>
            <a:cs typeface="Courier New" panose="02070309020205020404" pitchFamily="49" charset="0"/>
          </a:endParaRP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currentAPI As String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currentAPI = ""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index As Integer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index = 2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Dim bChanges As Integer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bChanges = 0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For i = 3 To 786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currentAPI = Sheet1.Cells(i, 1).Value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bChanges = bChanges + Sheet1.Cells(i, 7).Value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If currentAPI &lt;&gt; Sheet1.Cells(i + 1, 1).Value Then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Sheet9.Cells(index, 2).Value = bChanges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index = index + 1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    bChanges = 0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End If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Next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000">
              <a:latin typeface="Consolas" panose="020B0609020204030204" pitchFamily="49" charset="0"/>
              <a:cs typeface="Courier New" panose="02070309020205020404" pitchFamily="49" charset="0"/>
            </a:rPr>
            <a:t>End Sub</a:t>
          </a:r>
        </a:p>
      </xdr:txBody>
    </xdr:sp>
    <xdr:clientData/>
  </xdr:twoCellAnchor>
  <xdr:twoCellAnchor>
    <xdr:from>
      <xdr:col>26</xdr:col>
      <xdr:colOff>1650669</xdr:colOff>
      <xdr:row>27</xdr:row>
      <xdr:rowOff>102704</xdr:rowOff>
    </xdr:from>
    <xdr:to>
      <xdr:col>26</xdr:col>
      <xdr:colOff>2036922</xdr:colOff>
      <xdr:row>28</xdr:row>
      <xdr:rowOff>135549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D69E31A-95ED-4AE5-BB4B-DBA2EE4E2329}"/>
            </a:ext>
          </a:extLst>
        </xdr:cNvPr>
        <xdr:cNvSpPr txBox="1"/>
      </xdr:nvSpPr>
      <xdr:spPr>
        <a:xfrm>
          <a:off x="52671824" y="4536756"/>
          <a:ext cx="386253" cy="197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84</a:t>
          </a:r>
        </a:p>
      </xdr:txBody>
    </xdr:sp>
    <xdr:clientData/>
  </xdr:twoCellAnchor>
  <xdr:twoCellAnchor>
    <xdr:from>
      <xdr:col>26</xdr:col>
      <xdr:colOff>2985482</xdr:colOff>
      <xdr:row>27</xdr:row>
      <xdr:rowOff>97448</xdr:rowOff>
    </xdr:from>
    <xdr:to>
      <xdr:col>26</xdr:col>
      <xdr:colOff>3371735</xdr:colOff>
      <xdr:row>28</xdr:row>
      <xdr:rowOff>130293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1FDE3E5-E9B1-415C-87F9-B482A5B5F97A}"/>
            </a:ext>
          </a:extLst>
        </xdr:cNvPr>
        <xdr:cNvSpPr txBox="1"/>
      </xdr:nvSpPr>
      <xdr:spPr>
        <a:xfrm>
          <a:off x="54006637" y="4531500"/>
          <a:ext cx="386253" cy="197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68</a:t>
          </a:r>
        </a:p>
      </xdr:txBody>
    </xdr:sp>
    <xdr:clientData/>
  </xdr:twoCellAnchor>
  <xdr:twoCellAnchor>
    <xdr:from>
      <xdr:col>27</xdr:col>
      <xdr:colOff>641675</xdr:colOff>
      <xdr:row>27</xdr:row>
      <xdr:rowOff>92192</xdr:rowOff>
    </xdr:from>
    <xdr:to>
      <xdr:col>27</xdr:col>
      <xdr:colOff>1011622</xdr:colOff>
      <xdr:row>28</xdr:row>
      <xdr:rowOff>125037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E902CD8-7D02-496B-A084-4B891687DAE5}"/>
            </a:ext>
          </a:extLst>
        </xdr:cNvPr>
        <xdr:cNvSpPr txBox="1"/>
      </xdr:nvSpPr>
      <xdr:spPr>
        <a:xfrm>
          <a:off x="55223209" y="4526244"/>
          <a:ext cx="369947" cy="197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62</a:t>
          </a:r>
        </a:p>
      </xdr:txBody>
    </xdr:sp>
    <xdr:clientData/>
  </xdr:twoCellAnchor>
  <xdr:twoCellAnchor>
    <xdr:from>
      <xdr:col>27</xdr:col>
      <xdr:colOff>884727</xdr:colOff>
      <xdr:row>27</xdr:row>
      <xdr:rowOff>85624</xdr:rowOff>
    </xdr:from>
    <xdr:to>
      <xdr:col>27</xdr:col>
      <xdr:colOff>1270980</xdr:colOff>
      <xdr:row>28</xdr:row>
      <xdr:rowOff>118469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3A8100CD-31E7-461F-B3D1-0B0BBE87A20C}"/>
            </a:ext>
          </a:extLst>
        </xdr:cNvPr>
        <xdr:cNvSpPr txBox="1"/>
      </xdr:nvSpPr>
      <xdr:spPr>
        <a:xfrm>
          <a:off x="55466261" y="4519676"/>
          <a:ext cx="386253" cy="197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11</a:t>
          </a:r>
        </a:p>
      </xdr:txBody>
    </xdr:sp>
    <xdr:clientData/>
  </xdr:twoCellAnchor>
  <xdr:twoCellAnchor>
    <xdr:from>
      <xdr:col>23</xdr:col>
      <xdr:colOff>512379</xdr:colOff>
      <xdr:row>10</xdr:row>
      <xdr:rowOff>17859</xdr:rowOff>
    </xdr:from>
    <xdr:to>
      <xdr:col>23</xdr:col>
      <xdr:colOff>1250156</xdr:colOff>
      <xdr:row>11</xdr:row>
      <xdr:rowOff>131379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88627434-38D2-D558-139B-CAC72F84DB50}"/>
            </a:ext>
          </a:extLst>
        </xdr:cNvPr>
        <xdr:cNvCxnSpPr/>
      </xdr:nvCxnSpPr>
      <xdr:spPr>
        <a:xfrm flipV="1">
          <a:off x="45315598" y="1625203"/>
          <a:ext cx="737777" cy="27425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589359</xdr:colOff>
      <xdr:row>17</xdr:row>
      <xdr:rowOff>89297</xdr:rowOff>
    </xdr:from>
    <xdr:to>
      <xdr:col>23</xdr:col>
      <xdr:colOff>1250156</xdr:colOff>
      <xdr:row>19</xdr:row>
      <xdr:rowOff>89297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29355836-9F8C-637F-EC16-22C3ED4E17ED}"/>
            </a:ext>
          </a:extLst>
        </xdr:cNvPr>
        <xdr:cNvCxnSpPr/>
      </xdr:nvCxnSpPr>
      <xdr:spPr>
        <a:xfrm>
          <a:off x="45392578" y="2821781"/>
          <a:ext cx="660797" cy="32146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495040</xdr:colOff>
      <xdr:row>4</xdr:row>
      <xdr:rowOff>122041</xdr:rowOff>
    </xdr:from>
    <xdr:to>
      <xdr:col>25</xdr:col>
      <xdr:colOff>777769</xdr:colOff>
      <xdr:row>28</xdr:row>
      <xdr:rowOff>10691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F10365-9D4F-2B3B-0118-E619A0134493}"/>
            </a:ext>
          </a:extLst>
        </xdr:cNvPr>
        <xdr:cNvGrpSpPr/>
      </xdr:nvGrpSpPr>
      <xdr:grpSpPr>
        <a:xfrm>
          <a:off x="44205572" y="736557"/>
          <a:ext cx="7620052" cy="3575747"/>
          <a:chOff x="44559472" y="1026759"/>
          <a:chExt cx="7622124" cy="3628593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15A389B3-8579-2F6C-29D7-042882F54655}"/>
              </a:ext>
            </a:extLst>
          </xdr:cNvPr>
          <xdr:cNvGrpSpPr/>
        </xdr:nvGrpSpPr>
        <xdr:grpSpPr>
          <a:xfrm>
            <a:off x="44805732" y="1026759"/>
            <a:ext cx="7375864" cy="3628593"/>
            <a:chOff x="43602784" y="1133693"/>
            <a:chExt cx="7179424" cy="3741207"/>
          </a:xfrm>
        </xdr:grpSpPr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D0CC1AD3-9A51-9D21-CB8A-3B148071E2AE}"/>
                </a:ext>
              </a:extLst>
            </xdr:cNvPr>
            <xdr:cNvGrpSpPr/>
          </xdr:nvGrpSpPr>
          <xdr:grpSpPr>
            <a:xfrm>
              <a:off x="43602784" y="1133693"/>
              <a:ext cx="7179424" cy="3741207"/>
              <a:chOff x="42805065" y="1383725"/>
              <a:chExt cx="7179424" cy="3741207"/>
            </a:xfrm>
          </xdr:grpSpPr>
          <xdr:sp macro="" textlink="">
            <xdr:nvSpPr>
              <xdr:cNvPr id="12" name="Rectangle 11">
                <a:extLst>
                  <a:ext uri="{FF2B5EF4-FFF2-40B4-BE49-F238E27FC236}">
                    <a16:creationId xmlns:a16="http://schemas.microsoft.com/office/drawing/2014/main" id="{878FAFE2-4363-3585-C734-B2937C899276}"/>
                  </a:ext>
                </a:extLst>
              </xdr:cNvPr>
              <xdr:cNvSpPr/>
            </xdr:nvSpPr>
            <xdr:spPr>
              <a:xfrm>
                <a:off x="42805065" y="1565028"/>
                <a:ext cx="6750845" cy="3559904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B96723BB-C6AF-2A50-0174-F73640A35AC1}"/>
                  </a:ext>
                </a:extLst>
              </xdr:cNvPr>
              <xdr:cNvGrpSpPr/>
            </xdr:nvGrpSpPr>
            <xdr:grpSpPr>
              <a:xfrm>
                <a:off x="45221763" y="1383725"/>
                <a:ext cx="4762726" cy="2661441"/>
                <a:chOff x="49549385" y="2163190"/>
                <a:chExt cx="4768901" cy="2718923"/>
              </a:xfrm>
            </xdr:grpSpPr>
            <xdr:graphicFrame macro="">
              <xdr:nvGraphicFramePr>
                <xdr:cNvPr id="7" name="Diagram 6">
                  <a:extLst>
                    <a:ext uri="{FF2B5EF4-FFF2-40B4-BE49-F238E27FC236}">
                      <a16:creationId xmlns:a16="http://schemas.microsoft.com/office/drawing/2014/main" id="{311E77BB-D2E0-AFF1-1722-2F704C9A5DD4}"/>
                    </a:ext>
                  </a:extLst>
                </xdr:cNvPr>
                <xdr:cNvGraphicFramePr/>
              </xdr:nvGraphicFramePr>
              <xdr:xfrm>
                <a:off x="49738860" y="2163190"/>
                <a:ext cx="4579426" cy="2718923"/>
              </xdr:xfrm>
              <a:graphic>
                <a:graphicData uri="http://schemas.openxmlformats.org/drawingml/2006/diagram">
                  <dgm:relIds xmlns:dgm="http://schemas.openxmlformats.org/drawingml/2006/diagram" xmlns:r="http://schemas.openxmlformats.org/officeDocument/2006/relationships" r:dm="rId1" r:lo="rId2" r:qs="rId3" r:cs="rId4"/>
                </a:graphicData>
              </a:graphic>
            </xdr:graphicFrame>
            <xdr:sp macro="" textlink="">
              <xdr:nvSpPr>
                <xdr:cNvPr id="8" name="TextBox 7">
                  <a:extLst>
                    <a:ext uri="{FF2B5EF4-FFF2-40B4-BE49-F238E27FC236}">
                      <a16:creationId xmlns:a16="http://schemas.microsoft.com/office/drawing/2014/main" id="{383B978A-3F25-F6D5-5314-508665E96123}"/>
                    </a:ext>
                  </a:extLst>
                </xdr:cNvPr>
                <xdr:cNvSpPr txBox="1"/>
              </xdr:nvSpPr>
              <xdr:spPr>
                <a:xfrm>
                  <a:off x="51406797" y="3345879"/>
                  <a:ext cx="619128" cy="30167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2800" b="0"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62</a:t>
                  </a:r>
                </a:p>
              </xdr:txBody>
            </xdr:sp>
            <xdr:sp macro="" textlink="">
              <xdr:nvSpPr>
                <xdr:cNvPr id="9" name="TextBox 8">
                  <a:extLst>
                    <a:ext uri="{FF2B5EF4-FFF2-40B4-BE49-F238E27FC236}">
                      <a16:creationId xmlns:a16="http://schemas.microsoft.com/office/drawing/2014/main" id="{C7961EBE-C02B-4ECA-9D92-0B5175CE9509}"/>
                    </a:ext>
                  </a:extLst>
                </xdr:cNvPr>
                <xdr:cNvSpPr txBox="1"/>
              </xdr:nvSpPr>
              <xdr:spPr>
                <a:xfrm>
                  <a:off x="51896714" y="3769453"/>
                  <a:ext cx="635766" cy="35493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2800" b="0"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11</a:t>
                  </a:r>
                </a:p>
              </xdr:txBody>
            </xdr:sp>
            <xdr:sp macro="" textlink="">
              <xdr:nvSpPr>
                <xdr:cNvPr id="10" name="TextBox 9">
                  <a:extLst>
                    <a:ext uri="{FF2B5EF4-FFF2-40B4-BE49-F238E27FC236}">
                      <a16:creationId xmlns:a16="http://schemas.microsoft.com/office/drawing/2014/main" id="{1EAB61CE-629A-4BD7-AB0D-86176DB2DC04}"/>
                    </a:ext>
                  </a:extLst>
                </xdr:cNvPr>
                <xdr:cNvSpPr txBox="1"/>
              </xdr:nvSpPr>
              <xdr:spPr>
                <a:xfrm>
                  <a:off x="49549385" y="4628643"/>
                  <a:ext cx="2682719" cy="19706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400" b="1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Number of affected APIs: 157 </a:t>
                  </a:r>
                </a:p>
              </xdr:txBody>
            </xdr:sp>
          </xdr:grpSp>
          <xdr:sp macro="" textlink="">
            <xdr:nvSpPr>
              <xdr:cNvPr id="22" name="Rectangle 21">
                <a:extLst>
                  <a:ext uri="{FF2B5EF4-FFF2-40B4-BE49-F238E27FC236}">
                    <a16:creationId xmlns:a16="http://schemas.microsoft.com/office/drawing/2014/main" id="{8195CF9D-3C63-6381-0065-FB75FB4AD0A9}"/>
                  </a:ext>
                </a:extLst>
              </xdr:cNvPr>
              <xdr:cNvSpPr/>
            </xdr:nvSpPr>
            <xdr:spPr>
              <a:xfrm>
                <a:off x="45857599" y="4317495"/>
                <a:ext cx="91913" cy="88167"/>
              </a:xfrm>
              <a:prstGeom prst="rect">
                <a:avLst/>
              </a:prstGeom>
              <a:solidFill>
                <a:srgbClr val="30B2BC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6EB23529-30BD-4476-B346-E956C8DF2930}"/>
                  </a:ext>
                </a:extLst>
              </xdr:cNvPr>
              <xdr:cNvSpPr txBox="1"/>
            </xdr:nvSpPr>
            <xdr:spPr>
              <a:xfrm>
                <a:off x="45954493" y="4255811"/>
                <a:ext cx="2720390" cy="19354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05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APIs only</a:t>
                </a:r>
                <a:r>
                  <a:rPr lang="en-US" sz="105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affected by breaking changes (11)</a:t>
                </a:r>
                <a:endParaRPr lang="en-US" sz="105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2BF37368-D642-223F-8D36-25CD48B52D9B}"/>
                  </a:ext>
                </a:extLst>
              </xdr:cNvPr>
              <xdr:cNvSpPr/>
            </xdr:nvSpPr>
            <xdr:spPr>
              <a:xfrm>
                <a:off x="45243941" y="1391633"/>
                <a:ext cx="3815953" cy="2702719"/>
              </a:xfrm>
              <a:prstGeom prst="rect">
                <a:avLst/>
              </a:prstGeom>
              <a:noFill/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>
                  <a:solidFill>
                    <a:schemeClr val="tx1">
                      <a:lumMod val="65000"/>
                      <a:lumOff val="35000"/>
                    </a:schemeClr>
                  </a:solidFill>
                </a:endParaRPr>
              </a:p>
            </xdr:txBody>
          </xdr:sp>
          <xdr:sp macro="" textlink="">
            <xdr:nvSpPr>
              <xdr:cNvPr id="49" name="TextBox 48">
                <a:extLst>
                  <a:ext uri="{FF2B5EF4-FFF2-40B4-BE49-F238E27FC236}">
                    <a16:creationId xmlns:a16="http://schemas.microsoft.com/office/drawing/2014/main" id="{2608FEE9-F626-4BE2-AE5C-3D58A14FCB96}"/>
                  </a:ext>
                </a:extLst>
              </xdr:cNvPr>
              <xdr:cNvSpPr txBox="1"/>
            </xdr:nvSpPr>
            <xdr:spPr>
              <a:xfrm>
                <a:off x="42904355" y="4360587"/>
                <a:ext cx="1482328" cy="19354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05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APIs not affected at all</a:t>
                </a:r>
              </a:p>
            </xdr:txBody>
          </xdr:sp>
          <xdr:sp macro="" textlink="">
            <xdr:nvSpPr>
              <xdr:cNvPr id="50" name="TextBox 49">
                <a:extLst>
                  <a:ext uri="{FF2B5EF4-FFF2-40B4-BE49-F238E27FC236}">
                    <a16:creationId xmlns:a16="http://schemas.microsoft.com/office/drawing/2014/main" id="{A42E18E6-A30D-4F74-A41F-239444FBC0BE}"/>
                  </a:ext>
                </a:extLst>
              </xdr:cNvPr>
              <xdr:cNvSpPr txBox="1"/>
            </xdr:nvSpPr>
            <xdr:spPr>
              <a:xfrm>
                <a:off x="43166288" y="4102222"/>
                <a:ext cx="1017984" cy="19354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05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Affected</a:t>
                </a:r>
                <a:r>
                  <a:rPr lang="en-US" sz="105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APIs</a:t>
                </a:r>
                <a:endParaRPr lang="en-US" sz="105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1FAAB025-11AA-4F70-9876-D75A53BEC306}"/>
                </a:ext>
              </a:extLst>
            </xdr:cNvPr>
            <xdr:cNvSpPr txBox="1"/>
          </xdr:nvSpPr>
          <xdr:spPr>
            <a:xfrm>
              <a:off x="46951009" y="1683780"/>
              <a:ext cx="634943" cy="34743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32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84</a:t>
              </a:r>
            </a:p>
          </xdr:txBody>
        </xdr:sp>
      </xdr:grpSp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B6BFFB7A-E9D0-42D8-AB35-3ECCD7E178F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l="17830" t="8851" r="18050" b="17585"/>
          <a:stretch/>
        </xdr:blipFill>
        <xdr:spPr>
          <a:xfrm>
            <a:off x="44559472" y="1340846"/>
            <a:ext cx="2192482" cy="2045276"/>
          </a:xfrm>
          <a:prstGeom prst="rect">
            <a:avLst/>
          </a:prstGeom>
        </xdr:spPr>
      </xdr:pic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A5D1C941-3127-FF79-844E-4FEC9179E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4776700" y="3889555"/>
            <a:ext cx="244078" cy="245690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CB1094A8-DEAE-AE89-7751-0C8EFFA7D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45038639" y="3632489"/>
            <a:ext cx="238124" cy="256484"/>
          </a:xfrm>
          <a:prstGeom prst="rect">
            <a:avLst/>
          </a:prstGeom>
        </xdr:spPr>
      </xdr:pic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8DEC49E0-4A34-425F-A8E7-3069BF005AC8}"/>
              </a:ext>
            </a:extLst>
          </xdr:cNvPr>
          <xdr:cNvSpPr txBox="1"/>
        </xdr:nvSpPr>
        <xdr:spPr>
          <a:xfrm>
            <a:off x="47943112" y="4022863"/>
            <a:ext cx="2970394" cy="184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0">
                <a:latin typeface="Times New Roman" panose="02020603050405020304" pitchFamily="18" charset="0"/>
                <a:cs typeface="Times New Roman" panose="02020603050405020304" pitchFamily="18" charset="0"/>
              </a:rPr>
              <a:t>APIs only</a:t>
            </a:r>
            <a:r>
              <a:rPr lang="en-US" sz="1050" b="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affected by non-breaking changes (84)</a:t>
            </a:r>
            <a:endParaRPr lang="en-US" sz="1050" b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B7BA834-BB8E-4DC5-825A-CB063833E9C2}"/>
              </a:ext>
            </a:extLst>
          </xdr:cNvPr>
          <xdr:cNvSpPr/>
        </xdr:nvSpPr>
        <xdr:spPr>
          <a:xfrm>
            <a:off x="47851431" y="4089429"/>
            <a:ext cx="91917" cy="88167"/>
          </a:xfrm>
          <a:prstGeom prst="rect">
            <a:avLst/>
          </a:prstGeom>
          <a:solidFill>
            <a:srgbClr val="5BB6B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AA249E5E-B452-4A52-BD5B-7D2BDF43D369}"/>
              </a:ext>
            </a:extLst>
          </xdr:cNvPr>
          <xdr:cNvSpPr txBox="1"/>
        </xdr:nvSpPr>
        <xdr:spPr>
          <a:xfrm>
            <a:off x="47535918" y="4195328"/>
            <a:ext cx="3699165" cy="31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0">
                <a:latin typeface="Times New Roman" panose="02020603050405020304" pitchFamily="18" charset="0"/>
                <a:cs typeface="Times New Roman" panose="02020603050405020304" pitchFamily="18" charset="0"/>
              </a:rPr>
              <a:t>APIs</a:t>
            </a:r>
            <a:r>
              <a:rPr lang="en-US" sz="1050" b="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affected by breaking and non-breaking changes (62)</a:t>
            </a:r>
            <a:endParaRPr lang="en-US" sz="1050" b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66E82252-631D-4244-90B4-A7F20858D637}"/>
              </a:ext>
            </a:extLst>
          </xdr:cNvPr>
          <xdr:cNvSpPr txBox="1"/>
        </xdr:nvSpPr>
        <xdr:spPr>
          <a:xfrm rot="10800000">
            <a:off x="47462079" y="4267224"/>
            <a:ext cx="204791" cy="1886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0">
                <a:latin typeface="Times New Roman" panose="02020603050405020304" pitchFamily="18" charset="0"/>
                <a:cs typeface="Times New Roman" panose="02020603050405020304" pitchFamily="18" charset="0"/>
              </a:rPr>
              <a:t>ꓴ</a:t>
            </a:r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6EDE49C-EDD7-4836-A0DC-1454D9473E21}"/>
              </a:ext>
            </a:extLst>
          </xdr:cNvPr>
          <xdr:cNvSpPr/>
        </xdr:nvSpPr>
        <xdr:spPr>
          <a:xfrm>
            <a:off x="47379102" y="4312084"/>
            <a:ext cx="91917" cy="83296"/>
          </a:xfrm>
          <a:prstGeom prst="rect">
            <a:avLst/>
          </a:prstGeom>
          <a:solidFill>
            <a:srgbClr val="30B2B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1480F228-1C75-4F4F-BB80-767830774C0B}"/>
              </a:ext>
            </a:extLst>
          </xdr:cNvPr>
          <xdr:cNvSpPr/>
        </xdr:nvSpPr>
        <xdr:spPr>
          <a:xfrm>
            <a:off x="47656517" y="4308396"/>
            <a:ext cx="91917" cy="83296"/>
          </a:xfrm>
          <a:prstGeom prst="rect">
            <a:avLst/>
          </a:prstGeom>
          <a:solidFill>
            <a:srgbClr val="5BB6B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472439</xdr:colOff>
      <xdr:row>2</xdr:row>
      <xdr:rowOff>77526</xdr:rowOff>
    </xdr:from>
    <xdr:to>
      <xdr:col>29</xdr:col>
      <xdr:colOff>129540</xdr:colOff>
      <xdr:row>56</xdr:row>
      <xdr:rowOff>38736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7A86257-F27B-E790-5CE4-325B20CE08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80179" y="397566"/>
              <a:ext cx="9410701" cy="8602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536751</xdr:colOff>
      <xdr:row>2</xdr:row>
      <xdr:rowOff>91967</xdr:rowOff>
    </xdr:from>
    <xdr:to>
      <xdr:col>10</xdr:col>
      <xdr:colOff>238388</xdr:colOff>
      <xdr:row>25</xdr:row>
      <xdr:rowOff>75018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9BE28D-CDE2-4488-848F-06CCCBF6B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304931</xdr:colOff>
      <xdr:row>0</xdr:row>
      <xdr:rowOff>94724</xdr:rowOff>
    </xdr:from>
    <xdr:to>
      <xdr:col>17</xdr:col>
      <xdr:colOff>551793</xdr:colOff>
      <xdr:row>46</xdr:row>
      <xdr:rowOff>6568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84ACA7A-DC7C-4F20-B32A-D9CA9EB0CC50}"/>
            </a:ext>
          </a:extLst>
        </xdr:cNvPr>
        <xdr:cNvSpPr txBox="1"/>
      </xdr:nvSpPr>
      <xdr:spPr>
        <a:xfrm>
          <a:off x="18625776" y="94724"/>
          <a:ext cx="3912345" cy="68618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nsolas" panose="020B0609020204030204" pitchFamily="49" charset="0"/>
            </a:rPr>
            <a:t>Sub endpoints()</a:t>
          </a:r>
        </a:p>
        <a:p>
          <a:endParaRPr lang="en-US" sz="1100">
            <a:latin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</a:rPr>
            <a:t>    Dim currentAPI As String</a:t>
          </a:r>
        </a:p>
        <a:p>
          <a:r>
            <a:rPr lang="en-US" sz="1100">
              <a:latin typeface="Consolas" panose="020B0609020204030204" pitchFamily="49" charset="0"/>
            </a:rPr>
            <a:t>    currentAPI = ""</a:t>
          </a:r>
        </a:p>
        <a:p>
          <a:r>
            <a:rPr lang="en-US" sz="1100">
              <a:latin typeface="Consolas" panose="020B0609020204030204" pitchFamily="49" charset="0"/>
            </a:rPr>
            <a:t>    Dim index As Integer</a:t>
          </a:r>
        </a:p>
        <a:p>
          <a:r>
            <a:rPr lang="en-US" sz="1100">
              <a:latin typeface="Consolas" panose="020B0609020204030204" pitchFamily="49" charset="0"/>
            </a:rPr>
            <a:t>    index = 2</a:t>
          </a:r>
        </a:p>
        <a:p>
          <a:r>
            <a:rPr lang="en-US" sz="1100">
              <a:latin typeface="Consolas" panose="020B0609020204030204" pitchFamily="49" charset="0"/>
            </a:rPr>
            <a:t>    Dim totalEndpoints As Integer</a:t>
          </a:r>
        </a:p>
        <a:p>
          <a:r>
            <a:rPr lang="en-US" sz="1100">
              <a:latin typeface="Consolas" panose="020B0609020204030204" pitchFamily="49" charset="0"/>
            </a:rPr>
            <a:t>    bChanges = 0</a:t>
          </a:r>
        </a:p>
        <a:p>
          <a:r>
            <a:rPr lang="en-US" sz="1100">
              <a:latin typeface="Consolas" panose="020B0609020204030204" pitchFamily="49" charset="0"/>
            </a:rPr>
            <a:t>    Dim breakingEndpoints As Integer</a:t>
          </a:r>
        </a:p>
        <a:p>
          <a:r>
            <a:rPr lang="en-US" sz="1100">
              <a:latin typeface="Consolas" panose="020B0609020204030204" pitchFamily="49" charset="0"/>
            </a:rPr>
            <a:t>    breakingEndpoints = 0</a:t>
          </a:r>
        </a:p>
        <a:p>
          <a:r>
            <a:rPr lang="en-US" sz="1100">
              <a:latin typeface="Consolas" panose="020B0609020204030204" pitchFamily="49" charset="0"/>
            </a:rPr>
            <a:t>    Dim nonBreakingEndpoints As Integer</a:t>
          </a:r>
        </a:p>
        <a:p>
          <a:r>
            <a:rPr lang="en-US" sz="1100">
              <a:latin typeface="Consolas" panose="020B0609020204030204" pitchFamily="49" charset="0"/>
            </a:rPr>
            <a:t>    nonBreakingEndpoints = 0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    For i = 3 To 786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        currentAPI = Sheet1.Cells(i, 1).Value</a:t>
          </a:r>
        </a:p>
        <a:p>
          <a:r>
            <a:rPr lang="en-US" sz="1100">
              <a:latin typeface="Consolas" panose="020B0609020204030204" pitchFamily="49" charset="0"/>
            </a:rPr>
            <a:t>        totalEndpoints = totalEndpoints + Sheet1.Cells(i, 3).Value</a:t>
          </a:r>
        </a:p>
        <a:p>
          <a:r>
            <a:rPr lang="en-US" sz="1100">
              <a:latin typeface="Consolas" panose="020B0609020204030204" pitchFamily="49" charset="0"/>
            </a:rPr>
            <a:t>        breakingEndpoints = breakingEndpoints + Sheet1.Cells(i, 4).Value</a:t>
          </a:r>
        </a:p>
        <a:p>
          <a:r>
            <a:rPr lang="en-US" sz="1100">
              <a:latin typeface="Consolas" panose="020B0609020204030204" pitchFamily="49" charset="0"/>
            </a:rPr>
            <a:t>        nonBreakingEndpoints = nonBreakingEndpoints + Sheet1.Cells(i, 5).Value</a:t>
          </a:r>
        </a:p>
        <a:p>
          <a:r>
            <a:rPr lang="en-US" sz="1100">
              <a:latin typeface="Consolas" panose="020B06090202040302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</a:rPr>
            <a:t>        If currentAPI &lt;&gt; Sheet1.Cells(i + 1, 1).Value Then</a:t>
          </a:r>
        </a:p>
        <a:p>
          <a:r>
            <a:rPr lang="en-US" sz="1100">
              <a:latin typeface="Consolas" panose="020B0609020204030204" pitchFamily="49" charset="0"/>
            </a:rPr>
            <a:t>            Sheet12.Cells(index, 2).Value = totalEndpoints</a:t>
          </a:r>
        </a:p>
        <a:p>
          <a:r>
            <a:rPr lang="en-US" sz="1100">
              <a:latin typeface="Consolas" panose="020B0609020204030204" pitchFamily="49" charset="0"/>
            </a:rPr>
            <a:t>            Sheet12.Cells(index, 3).Value = breakingEndpoints</a:t>
          </a:r>
        </a:p>
        <a:p>
          <a:r>
            <a:rPr lang="en-US" sz="1100">
              <a:latin typeface="Consolas" panose="020B0609020204030204" pitchFamily="49" charset="0"/>
            </a:rPr>
            <a:t>            Sheet12.Cells(index, 4).Value = nonBreakingEndpoints</a:t>
          </a:r>
        </a:p>
        <a:p>
          <a:r>
            <a:rPr lang="en-US" sz="1100">
              <a:latin typeface="Consolas" panose="020B0609020204030204" pitchFamily="49" charset="0"/>
            </a:rPr>
            <a:t>            index = index + 1</a:t>
          </a:r>
        </a:p>
        <a:p>
          <a:r>
            <a:rPr lang="en-US" sz="1100">
              <a:latin typeface="Consolas" panose="020B0609020204030204" pitchFamily="49" charset="0"/>
            </a:rPr>
            <a:t>            totalEndpoints = 0</a:t>
          </a:r>
        </a:p>
        <a:p>
          <a:r>
            <a:rPr lang="en-US" sz="1100">
              <a:latin typeface="Consolas" panose="020B0609020204030204" pitchFamily="49" charset="0"/>
            </a:rPr>
            <a:t>            breakingEndpoints = 0</a:t>
          </a:r>
        </a:p>
        <a:p>
          <a:r>
            <a:rPr lang="en-US" sz="1100">
              <a:latin typeface="Consolas" panose="020B0609020204030204" pitchFamily="49" charset="0"/>
            </a:rPr>
            <a:t>            nonBreakingEndpoints = 0</a:t>
          </a:r>
        </a:p>
        <a:p>
          <a:r>
            <a:rPr lang="en-US" sz="1100">
              <a:latin typeface="Consolas" panose="020B0609020204030204" pitchFamily="49" charset="0"/>
            </a:rPr>
            <a:t>        End If</a:t>
          </a:r>
        </a:p>
        <a:p>
          <a:r>
            <a:rPr lang="en-US" sz="1100">
              <a:latin typeface="Consolas" panose="020B06090202040302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</a:rPr>
            <a:t>    Next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End Sub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546880</xdr:colOff>
      <xdr:row>20</xdr:row>
      <xdr:rowOff>84657</xdr:rowOff>
    </xdr:from>
    <xdr:to>
      <xdr:col>33</xdr:col>
      <xdr:colOff>2822234</xdr:colOff>
      <xdr:row>38</xdr:row>
      <xdr:rowOff>26122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D43BFE-8034-4C39-AEFC-1A70134E0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624320</xdr:colOff>
      <xdr:row>39</xdr:row>
      <xdr:rowOff>130424</xdr:rowOff>
    </xdr:from>
    <xdr:to>
      <xdr:col>33</xdr:col>
      <xdr:colOff>2884343</xdr:colOff>
      <xdr:row>57</xdr:row>
      <xdr:rowOff>62363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6A2A44-A438-496E-A337-DF4F55CC5D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408883</xdr:colOff>
      <xdr:row>0</xdr:row>
      <xdr:rowOff>1047749</xdr:rowOff>
    </xdr:from>
    <xdr:to>
      <xdr:col>44</xdr:col>
      <xdr:colOff>363682</xdr:colOff>
      <xdr:row>174</xdr:row>
      <xdr:rowOff>69271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37FF7D1-BD59-41C6-812F-C5E736C6AC13}"/>
            </a:ext>
          </a:extLst>
        </xdr:cNvPr>
        <xdr:cNvSpPr txBox="1"/>
      </xdr:nvSpPr>
      <xdr:spPr>
        <a:xfrm>
          <a:off x="37123428" y="1047749"/>
          <a:ext cx="5410027" cy="27189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Sub changesDistribution()</a:t>
          </a: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currentAPI As String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currentAPI = ""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index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index = 2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totalChanges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totalChanges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totalBreaking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totalBreaking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bChangeTypeParameter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bChangeTypeParameter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bCombineMethods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bCombineMethods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bSplitMethods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bSplitMethods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bIncreaseNumberParameters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bIncreaseNumberParameters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bUnsupportRequestMethod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bUnsupportRequestMethod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bDeletePath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bDeletePath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bDecreaseNumberParameters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bDecreaseNumberParameters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bModifyParameterSchema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bModifyParameterSchema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bModifyContentTypeConsume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bModifyContentTypeConsume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bModifyContentTypeProduce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bModifyContentTypeProduce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bRemoveStatusCode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bRemoveStatusCode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bExposeData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bExposeData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bChangeTypeReturnValue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bChangeTypeReturnValue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bRenamePath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bRenamePath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totalNonBreaking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totalNonBreaking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nbChangeUpperBoundParameter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nbChangeUpperBoundParameter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nbChangeLowerBoundParameter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nbChangeLowerBoundParameter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nbChangeDefaultValueParameter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nbChangeDefaultValueParameter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nbRenameParameter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nbRenameParameter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nbAddStatusCode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nbAddStatusCode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nbRemoveRestrictedAccess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nbRemoveRestrictedAccess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nbAddRestrictedAccess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nbAddRestrictedAccess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Dim nbAddPath As Integer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nbAddPath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For i = 3 To 786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currentAPI = Sheet1.Cells(i, 1).Value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totalChanges = totalChanges + Sheet1.Cells(i, 6).Value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totalBreaking = totalBreaking + Sheet1.Cells(i, 7).Value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bChangeTypeParameter = bChangeTypeParameter + Sheet1.Cells(i, 8).Value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bCombineMethods = bCombineMethods + Sheet1.Cells(i, 9).Value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bSplitMethods = bSplitMethods + Sheet1.Cells(i, 10).Value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bIncreaseNumberParameters = bIncreaseNumberParameters + Sheet1.Cells(i, 11).Value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bUnsupportRequestMethod = bUnsupportRequestMethod + Sheet1.Cells(i, 12).Value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bDeletePath = bDeletePath + Sheet1.Cells(i, 13).Value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bDecreaseNumberParameters = bDecreaseNumberParameters + Sheet1.Cells(i, 14).Value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bModifyParameterSchema = bModifyParameterSchema + Sheet1.Cells(i, 15).Value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bModifyContentTypeConsume = bModifyContentTypeConsume + Sheet1.Cells(i, 16).Value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bModifyContentTypeProduce = bModifyContentTypeProduce + Sheet1.Cells(i, 17).Value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bRemoveStatusCode = bRemoveStatusCode + Sheet1.Cells(i, 18).Value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bExposeData = bExposeData + Sheet1.Cells(i, 19).Value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bChangeTypeReturnValue = bChangeTypeReturnValue + Sheet1.Cells(i, 20).Value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bRenamePath = bRenamePath + Sheet1.Cells(i, 21).Value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totalNonBreaking = totalNonBreaking + Sheet1.Cells(i, 22).Value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nbChangeUpperBoundParameter = nbChangeUpperBoundParameter + Sheet1.Cells(i, 23).Value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nbChangeLowerBoundParameter = nbChangeLowerBoundParameter + Sheet1.Cells(i, 24).Value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nbChangeDefaultValueParameter = nbChangeDefaultValueParameter + Sheet1.Cells(i, 25).Value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nbRenameParameter = nbRenameParameter + Sheet1.Cells(i, 26).Value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nbAddStatusCode = nbAddStatusCode + Sheet1.Cells(i, 27).Value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nbRemoveRestrictedAccess = nbRemoveRestrictedAccess + Sheet1.Cells(i, 28).Value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nbAddRestrictedAccess = nbAddRestrictedAccess + Sheet1.Cells(i, 29).Value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nbAddPath = nbAddPath + Sheet1.Cells(i, 30).Value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If currentAPI &lt;&gt; Sheet1.Cells(i + 1, 1).Value Then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2).Value = totalChanges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3).Value = totalBreaking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4).Value = bChangeTypeParameter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5).Value = bCombineMethods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6).Value = bSplitMethods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7).Value = bIncreaseNumberParameters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8).Value = bUnsupportRequestMethod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9).Value = bDeletePath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10).Value = bDecreaseNumberParameters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11).Value = bModifyParameterSchema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12).Value = bModifyContentTypeConsume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13).Value = bModifyContentTypeProduce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14).Value = bRemoveStatusCode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15).Value = bExposeData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16).Value = bChangeTypeReturnValue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17).Value = bRenamePath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18).Value = totalNonBreaking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19).Value = nbChangeUpperBoundParameter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20).Value = nbChangeLowerBoundParameter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21).Value = nbChangeDefaultValueParameter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22).Value = nbRenameParameter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23).Value = nbAddStatusCode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24).Value = nbRemoveRestrictedAccess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25).Value = nbAddRestrictedAccess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Sheet11.Cells(index, 26).Value = nbAddPath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index = index + 1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totalChanges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totalBreaking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bChangeTypeParameter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bCombineMethods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bSplitMethods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bIncreaseNumberParameters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bUnsupportRequestMethod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bDeletePath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bDecreaseNumberParameters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bModifyParameterSchema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bModifyContentTypeConsume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bModifyContentTypeProduce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bRemoveStatusCode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bExposeData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bChangeTypeReturnValue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bRenamePath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totalNonBreaking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nbChangeUpperBoundParameter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nbChangeLowerBoundParameter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nbChangeDefaultValueParameter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nbRenameParameter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nbAddStatusCode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nbRemoveRestrictedAccess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nbAddRestrictedAccess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nbAddPath = 0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End If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Next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  <a:cs typeface="Courier New" panose="02070309020205020404" pitchFamily="49" charset="0"/>
            </a:rPr>
            <a:t>End Sub</a:t>
          </a: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  <a:p>
          <a:endParaRPr lang="en-US" sz="1100">
            <a:latin typeface="Consolas" panose="020B06090202040302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204340</xdr:colOff>
      <xdr:row>31</xdr:row>
      <xdr:rowOff>95882</xdr:rowOff>
    </xdr:from>
    <xdr:to>
      <xdr:col>19</xdr:col>
      <xdr:colOff>238999</xdr:colOff>
      <xdr:row>35</xdr:row>
      <xdr:rowOff>97201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59A9670-1845-497F-A9CC-4D3A77FDCD40}"/>
            </a:ext>
          </a:extLst>
        </xdr:cNvPr>
        <xdr:cNvSpPr txBox="1"/>
      </xdr:nvSpPr>
      <xdr:spPr>
        <a:xfrm>
          <a:off x="31758067" y="5429882"/>
          <a:ext cx="3359750" cy="6247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Hypothesis</a:t>
          </a:r>
          <a:r>
            <a:rPr lang="en-US" sz="1100" baseline="0"/>
            <a:t>: APIs should have a higher amount of breaking changes in the first X versions of the API (ideal).</a:t>
          </a:r>
          <a:endParaRPr lang="en-US" sz="1100"/>
        </a:p>
      </xdr:txBody>
    </xdr:sp>
    <xdr:clientData/>
  </xdr:twoCellAnchor>
  <xdr:twoCellAnchor>
    <xdr:from>
      <xdr:col>13</xdr:col>
      <xdr:colOff>1505884</xdr:colOff>
      <xdr:row>36</xdr:row>
      <xdr:rowOff>36701</xdr:rowOff>
    </xdr:from>
    <xdr:to>
      <xdr:col>18</xdr:col>
      <xdr:colOff>157206</xdr:colOff>
      <xdr:row>77</xdr:row>
      <xdr:rowOff>22170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29F8EF7-6917-489B-BAA8-1EA42229D1A0}"/>
            </a:ext>
          </a:extLst>
        </xdr:cNvPr>
        <xdr:cNvSpPr txBox="1"/>
      </xdr:nvSpPr>
      <xdr:spPr>
        <a:xfrm>
          <a:off x="29445884" y="6150019"/>
          <a:ext cx="4978231" cy="6375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nsolas" panose="020B0609020204030204" pitchFamily="49" charset="0"/>
            </a:rPr>
            <a:t>Sub breakingChangesHypothesis()</a:t>
          </a:r>
        </a:p>
        <a:p>
          <a:endParaRPr lang="en-US" sz="1100">
            <a:latin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</a:rPr>
            <a:t>    Dim currentAPI As String</a:t>
          </a:r>
        </a:p>
        <a:p>
          <a:r>
            <a:rPr lang="en-US" sz="1100">
              <a:latin typeface="Consolas" panose="020B0609020204030204" pitchFamily="49" charset="0"/>
            </a:rPr>
            <a:t>    currentAPI = ""</a:t>
          </a:r>
        </a:p>
        <a:p>
          <a:r>
            <a:rPr lang="en-US" sz="1100">
              <a:latin typeface="Consolas" panose="020B0609020204030204" pitchFamily="49" charset="0"/>
            </a:rPr>
            <a:t>    Dim index As Integer</a:t>
          </a:r>
        </a:p>
        <a:p>
          <a:r>
            <a:rPr lang="en-US" sz="1100">
              <a:latin typeface="Consolas" panose="020B0609020204030204" pitchFamily="49" charset="0"/>
            </a:rPr>
            <a:t>    index = 2</a:t>
          </a:r>
        </a:p>
        <a:p>
          <a:r>
            <a:rPr lang="en-US" sz="1100">
              <a:latin typeface="Consolas" panose="020B0609020204030204" pitchFamily="49" charset="0"/>
            </a:rPr>
            <a:t>    Dim breakingChanges As Integer</a:t>
          </a:r>
        </a:p>
        <a:p>
          <a:r>
            <a:rPr lang="en-US" sz="1100">
              <a:latin typeface="Consolas" panose="020B0609020204030204" pitchFamily="49" charset="0"/>
            </a:rPr>
            <a:t>    breakingChanges = 0</a:t>
          </a:r>
        </a:p>
        <a:p>
          <a:r>
            <a:rPr lang="en-US" sz="1100">
              <a:latin typeface="Consolas" panose="020B0609020204030204" pitchFamily="49" charset="0"/>
            </a:rPr>
            <a:t>    Dim firstOcurrence As Boolean</a:t>
          </a:r>
        </a:p>
        <a:p>
          <a:r>
            <a:rPr lang="en-US" sz="1100">
              <a:latin typeface="Consolas" panose="020B0609020204030204" pitchFamily="49" charset="0"/>
            </a:rPr>
            <a:t>    firstOcurrence = True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    For i = 3 To 786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        currentAPI = Sheet1.Cells(i, 1).Value</a:t>
          </a:r>
        </a:p>
        <a:p>
          <a:r>
            <a:rPr lang="en-US" sz="1100">
              <a:latin typeface="Consolas" panose="020B06090202040302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</a:rPr>
            <a:t>        If firstOcurrence Then</a:t>
          </a:r>
        </a:p>
        <a:p>
          <a:r>
            <a:rPr lang="en-US" sz="1100">
              <a:latin typeface="Consolas" panose="020B0609020204030204" pitchFamily="49" charset="0"/>
            </a:rPr>
            <a:t>            breakingChanges = Sheet1.Cells(i, 7).Value</a:t>
          </a:r>
        </a:p>
        <a:p>
          <a:r>
            <a:rPr lang="en-US" sz="1100">
              <a:latin typeface="Consolas" panose="020B0609020204030204" pitchFamily="49" charset="0"/>
            </a:rPr>
            <a:t>            firstOcurrence = False</a:t>
          </a:r>
        </a:p>
        <a:p>
          <a:r>
            <a:rPr lang="en-US" sz="1100">
              <a:latin typeface="Consolas" panose="020B0609020204030204" pitchFamily="49" charset="0"/>
            </a:rPr>
            <a:t>        Else</a:t>
          </a:r>
        </a:p>
        <a:p>
          <a:r>
            <a:rPr lang="en-US" sz="1100">
              <a:latin typeface="Consolas" panose="020B0609020204030204" pitchFamily="49" charset="0"/>
            </a:rPr>
            <a:t>            breakingChanges = breakingChanges - Sheet1.Cells(i, 7).Value</a:t>
          </a:r>
        </a:p>
        <a:p>
          <a:r>
            <a:rPr lang="en-US" sz="1100">
              <a:latin typeface="Consolas" panose="020B0609020204030204" pitchFamily="49" charset="0"/>
            </a:rPr>
            <a:t>        End If</a:t>
          </a:r>
        </a:p>
        <a:p>
          <a:endParaRPr lang="en-US" sz="1100">
            <a:latin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</a:rPr>
            <a:t>        If currentAPI &lt;&gt; Sheet1.Cells(i + 1, 1).Value Then</a:t>
          </a:r>
        </a:p>
        <a:p>
          <a:r>
            <a:rPr lang="en-US" sz="1100">
              <a:latin typeface="Consolas" panose="020B0609020204030204" pitchFamily="49" charset="0"/>
            </a:rPr>
            <a:t>            Sheet13.Cells(index, 6).Value = currentAPI</a:t>
          </a:r>
        </a:p>
        <a:p>
          <a:r>
            <a:rPr lang="en-US" sz="1100">
              <a:latin typeface="Consolas" panose="020B0609020204030204" pitchFamily="49" charset="0"/>
            </a:rPr>
            <a:t>            Sheet13.Cells(index, 7).Value = breakingChanges</a:t>
          </a:r>
        </a:p>
        <a:p>
          <a:r>
            <a:rPr lang="en-US" sz="1100">
              <a:latin typeface="Consolas" panose="020B0609020204030204" pitchFamily="49" charset="0"/>
            </a:rPr>
            <a:t>            index = index + 1</a:t>
          </a:r>
        </a:p>
        <a:p>
          <a:r>
            <a:rPr lang="en-US" sz="1100">
              <a:latin typeface="Consolas" panose="020B0609020204030204" pitchFamily="49" charset="0"/>
            </a:rPr>
            <a:t>            breakingChanges = 0</a:t>
          </a:r>
        </a:p>
        <a:p>
          <a:r>
            <a:rPr lang="en-US" sz="1100">
              <a:latin typeface="Consolas" panose="020B0609020204030204" pitchFamily="49" charset="0"/>
            </a:rPr>
            <a:t>            firstOcurrence = True</a:t>
          </a:r>
        </a:p>
        <a:p>
          <a:r>
            <a:rPr lang="en-US" sz="1100">
              <a:latin typeface="Consolas" panose="020B0609020204030204" pitchFamily="49" charset="0"/>
            </a:rPr>
            <a:t>        End If</a:t>
          </a:r>
        </a:p>
        <a:p>
          <a:r>
            <a:rPr lang="en-US" sz="1100">
              <a:latin typeface="Consolas" panose="020B0609020204030204" pitchFamily="49" charset="0"/>
            </a:rPr>
            <a:t>        </a:t>
          </a:r>
        </a:p>
        <a:p>
          <a:r>
            <a:rPr lang="en-US" sz="1100">
              <a:latin typeface="Consolas" panose="020B0609020204030204" pitchFamily="49" charset="0"/>
            </a:rPr>
            <a:t>    Next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End Sub</a:t>
          </a:r>
        </a:p>
      </xdr:txBody>
    </xdr:sp>
    <xdr:clientData/>
  </xdr:twoCellAnchor>
  <xdr:twoCellAnchor>
    <xdr:from>
      <xdr:col>10</xdr:col>
      <xdr:colOff>875798</xdr:colOff>
      <xdr:row>67</xdr:row>
      <xdr:rowOff>22493</xdr:rowOff>
    </xdr:from>
    <xdr:to>
      <xdr:col>12</xdr:col>
      <xdr:colOff>1711530</xdr:colOff>
      <xdr:row>87</xdr:row>
      <xdr:rowOff>151955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023546-868B-4581-877D-5535A17CC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825198</xdr:colOff>
      <xdr:row>47</xdr:row>
      <xdr:rowOff>138983</xdr:rowOff>
    </xdr:from>
    <xdr:to>
      <xdr:col>13</xdr:col>
      <xdr:colOff>1278775</xdr:colOff>
      <xdr:row>65</xdr:row>
      <xdr:rowOff>114510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A258E5-7182-49FE-BB07-1A7A8502C4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633369</xdr:colOff>
      <xdr:row>48</xdr:row>
      <xdr:rowOff>57777</xdr:rowOff>
    </xdr:from>
    <xdr:to>
      <xdr:col>11</xdr:col>
      <xdr:colOff>792997</xdr:colOff>
      <xdr:row>64</xdr:row>
      <xdr:rowOff>150542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F52565C-FA44-98CD-D2EF-6144F87E1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1081160</xdr:colOff>
      <xdr:row>7</xdr:row>
      <xdr:rowOff>102536</xdr:rowOff>
    </xdr:from>
    <xdr:to>
      <xdr:col>17</xdr:col>
      <xdr:colOff>201490</xdr:colOff>
      <xdr:row>48</xdr:row>
      <xdr:rowOff>44946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42BA55-6852-4B48-A938-710FC7CF9C32}"/>
            </a:ext>
          </a:extLst>
        </xdr:cNvPr>
        <xdr:cNvSpPr txBox="1"/>
      </xdr:nvSpPr>
      <xdr:spPr>
        <a:xfrm>
          <a:off x="17735093" y="1198969"/>
          <a:ext cx="5847097" cy="63643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nsolas" panose="020B0609020204030204" pitchFamily="49" charset="0"/>
            </a:rPr>
            <a:t>Sub avgTimeBC()</a:t>
          </a:r>
        </a:p>
        <a:p>
          <a:endParaRPr lang="en-US" sz="1100">
            <a:latin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</a:rPr>
            <a:t>    Dim actualAPI As String</a:t>
          </a:r>
        </a:p>
        <a:p>
          <a:r>
            <a:rPr lang="en-US" sz="1100">
              <a:latin typeface="Consolas" panose="020B0609020204030204" pitchFamily="49" charset="0"/>
            </a:rPr>
            <a:t>    actualAPI = ""</a:t>
          </a:r>
        </a:p>
        <a:p>
          <a:r>
            <a:rPr lang="en-US" sz="1100">
              <a:latin typeface="Consolas" panose="020B0609020204030204" pitchFamily="49" charset="0"/>
            </a:rPr>
            <a:t>    Dim counterRow As Integer</a:t>
          </a:r>
        </a:p>
        <a:p>
          <a:r>
            <a:rPr lang="en-US" sz="1100">
              <a:latin typeface="Consolas" panose="020B0609020204030204" pitchFamily="49" charset="0"/>
            </a:rPr>
            <a:t>    counterRow = 2</a:t>
          </a:r>
        </a:p>
        <a:p>
          <a:r>
            <a:rPr lang="en-US" sz="1100">
              <a:latin typeface="Consolas" panose="020B0609020204030204" pitchFamily="49" charset="0"/>
            </a:rPr>
            <a:t>    Dim counterVersion As Integer</a:t>
          </a:r>
        </a:p>
        <a:p>
          <a:r>
            <a:rPr lang="en-US" sz="1100">
              <a:latin typeface="Consolas" panose="020B0609020204030204" pitchFamily="49" charset="0"/>
            </a:rPr>
            <a:t>    counterVersion = 1</a:t>
          </a:r>
        </a:p>
        <a:p>
          <a:r>
            <a:rPr lang="en-US" sz="1100">
              <a:latin typeface="Consolas" panose="020B0609020204030204" pitchFamily="49" charset="0"/>
            </a:rPr>
            <a:t>    Dim descBc As Integer</a:t>
          </a:r>
        </a:p>
        <a:p>
          <a:r>
            <a:rPr lang="en-US" sz="1100">
              <a:latin typeface="Consolas" panose="020B0609020204030204" pitchFamily="49" charset="0"/>
            </a:rPr>
            <a:t>    descBc = 0</a:t>
          </a:r>
        </a:p>
        <a:p>
          <a:r>
            <a:rPr lang="en-US" sz="1100">
              <a:latin typeface="Consolas" panose="020B0609020204030204" pitchFamily="49" charset="0"/>
            </a:rPr>
            <a:t>    Dim prevBc As Integer</a:t>
          </a:r>
        </a:p>
        <a:p>
          <a:r>
            <a:rPr lang="en-US" sz="1100">
              <a:latin typeface="Consolas" panose="020B0609020204030204" pitchFamily="49" charset="0"/>
            </a:rPr>
            <a:t>    prevBc = 200</a:t>
          </a:r>
        </a:p>
        <a:p>
          <a:r>
            <a:rPr lang="en-US" sz="1100">
              <a:latin typeface="Consolas" panose="020B0609020204030204" pitchFamily="49" charset="0"/>
            </a:rPr>
            <a:t>    Dim sentinel As Integer</a:t>
          </a:r>
        </a:p>
        <a:p>
          <a:r>
            <a:rPr lang="en-US" sz="1100">
              <a:latin typeface="Consolas" panose="020B0609020204030204" pitchFamily="49" charset="0"/>
            </a:rPr>
            <a:t>    sentinel = 0</a:t>
          </a:r>
        </a:p>
        <a:p>
          <a:r>
            <a:rPr lang="en-US" sz="1100">
              <a:latin typeface="Consolas" panose="020B0609020204030204" pitchFamily="49" charset="0"/>
            </a:rPr>
            <a:t>    </a:t>
          </a:r>
        </a:p>
        <a:p>
          <a:r>
            <a:rPr lang="en-US" sz="1100">
              <a:latin typeface="Consolas" panose="020B0609020204030204" pitchFamily="49" charset="0"/>
            </a:rPr>
            <a:t>    For i = 3 To 786</a:t>
          </a:r>
        </a:p>
        <a:p>
          <a:r>
            <a:rPr lang="en-US" sz="1100">
              <a:latin typeface="Consolas" panose="020B0609020204030204" pitchFamily="49" charset="0"/>
            </a:rPr>
            <a:t>        If Sheet1.Cells(i, 1).Value &lt;&gt; actualAPI Then</a:t>
          </a:r>
        </a:p>
        <a:p>
          <a:r>
            <a:rPr lang="en-US" sz="1100">
              <a:latin typeface="Consolas" panose="020B0609020204030204" pitchFamily="49" charset="0"/>
            </a:rPr>
            <a:t>            counterVersion = 1</a:t>
          </a:r>
        </a:p>
        <a:p>
          <a:r>
            <a:rPr lang="en-US" sz="1100">
              <a:latin typeface="Consolas" panose="020B0609020204030204" pitchFamily="49" charset="0"/>
            </a:rPr>
            <a:t>            sentinel = 0</a:t>
          </a:r>
        </a:p>
        <a:p>
          <a:r>
            <a:rPr lang="en-US" sz="1100">
              <a:latin typeface="Consolas" panose="020B0609020204030204" pitchFamily="49" charset="0"/>
            </a:rPr>
            <a:t>            prevBc = Sheet1.Cells(i, 7).Value</a:t>
          </a:r>
        </a:p>
        <a:p>
          <a:r>
            <a:rPr lang="en-US" sz="1100">
              <a:latin typeface="Consolas" panose="020B0609020204030204" pitchFamily="49" charset="0"/>
            </a:rPr>
            <a:t>            counterRow = counterRow + 1</a:t>
          </a:r>
        </a:p>
        <a:p>
          <a:r>
            <a:rPr lang="en-US" sz="1100">
              <a:latin typeface="Consolas" panose="020B0609020204030204" pitchFamily="49" charset="0"/>
            </a:rPr>
            <a:t>            actualAPI = Sheet1.Cells(i, 1).Value</a:t>
          </a:r>
        </a:p>
        <a:p>
          <a:r>
            <a:rPr lang="en-US" sz="1100">
              <a:latin typeface="Consolas" panose="020B0609020204030204" pitchFamily="49" charset="0"/>
            </a:rPr>
            <a:t>            Cells(counterRow, 1).Value = actualAPI</a:t>
          </a:r>
        </a:p>
        <a:p>
          <a:r>
            <a:rPr lang="en-US" sz="1100">
              <a:latin typeface="Consolas" panose="020B0609020204030204" pitchFamily="49" charset="0"/>
            </a:rPr>
            <a:t>        Else</a:t>
          </a:r>
        </a:p>
        <a:p>
          <a:r>
            <a:rPr lang="en-US" sz="1100">
              <a:latin typeface="Consolas" panose="020B0609020204030204" pitchFamily="49" charset="0"/>
            </a:rPr>
            <a:t>            counterVersion = counterVersion + 1</a:t>
          </a:r>
        </a:p>
        <a:p>
          <a:r>
            <a:rPr lang="en-US" sz="1100">
              <a:latin typeface="Consolas" panose="020B0609020204030204" pitchFamily="49" charset="0"/>
            </a:rPr>
            <a:t>            Cells(counterRow, 2).Value = counterVersion</a:t>
          </a:r>
        </a:p>
        <a:p>
          <a:r>
            <a:rPr lang="en-US" sz="1100">
              <a:latin typeface="Consolas" panose="020B0609020204030204" pitchFamily="49" charset="0"/>
            </a:rPr>
            <a:t>            If sentinel = 0 And Sheet1.Cells(i, 7).Value &lt; prevBc Then</a:t>
          </a:r>
        </a:p>
        <a:p>
          <a:r>
            <a:rPr lang="en-US" sz="1100">
              <a:latin typeface="Consolas" panose="020B0609020204030204" pitchFamily="49" charset="0"/>
            </a:rPr>
            <a:t>                prevBc = Sheet1.Cells(i, 7).Value</a:t>
          </a:r>
        </a:p>
        <a:p>
          <a:r>
            <a:rPr lang="en-US" sz="1100">
              <a:latin typeface="Consolas" panose="020B0609020204030204" pitchFamily="49" charset="0"/>
            </a:rPr>
            <a:t>                Cells(counterRow, 3).Value = 1</a:t>
          </a:r>
        </a:p>
        <a:p>
          <a:r>
            <a:rPr lang="en-US" sz="1100">
              <a:latin typeface="Consolas" panose="020B0609020204030204" pitchFamily="49" charset="0"/>
            </a:rPr>
            <a:t>            Else</a:t>
          </a:r>
        </a:p>
        <a:p>
          <a:r>
            <a:rPr lang="en-US" sz="1100">
              <a:latin typeface="Consolas" panose="020B0609020204030204" pitchFamily="49" charset="0"/>
            </a:rPr>
            <a:t>                Cells(counterRow, 3).Value = 0</a:t>
          </a:r>
        </a:p>
        <a:p>
          <a:r>
            <a:rPr lang="en-US" sz="1100">
              <a:latin typeface="Consolas" panose="020B0609020204030204" pitchFamily="49" charset="0"/>
            </a:rPr>
            <a:t>                sentinel = 1</a:t>
          </a:r>
        </a:p>
        <a:p>
          <a:r>
            <a:rPr lang="en-US" sz="1100">
              <a:latin typeface="Consolas" panose="020B0609020204030204" pitchFamily="49" charset="0"/>
            </a:rPr>
            <a:t>            End If</a:t>
          </a:r>
        </a:p>
        <a:p>
          <a:r>
            <a:rPr lang="en-US" sz="1100">
              <a:latin typeface="Consolas" panose="020B0609020204030204" pitchFamily="49" charset="0"/>
            </a:rPr>
            <a:t>        End If</a:t>
          </a:r>
        </a:p>
        <a:p>
          <a:r>
            <a:rPr lang="en-US" sz="1100">
              <a:latin typeface="Consolas" panose="020B0609020204030204" pitchFamily="49" charset="0"/>
            </a:rPr>
            <a:t>    Next</a:t>
          </a:r>
        </a:p>
        <a:p>
          <a:endParaRPr lang="en-US" sz="1100">
            <a:latin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</a:rPr>
            <a:t>End Sub</a:t>
          </a:r>
        </a:p>
        <a:p>
          <a:endParaRPr lang="en-US" sz="1100"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857248</xdr:colOff>
      <xdr:row>8</xdr:row>
      <xdr:rowOff>36346</xdr:rowOff>
    </xdr:from>
    <xdr:to>
      <xdr:col>8</xdr:col>
      <xdr:colOff>912056</xdr:colOff>
      <xdr:row>29</xdr:row>
      <xdr:rowOff>10168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3137CE-66BB-4355-BC70-7A8BDF555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L786"/>
  <sheetViews>
    <sheetView tabSelected="1" zoomScaleNormal="100" workbookViewId="0">
      <selection activeCell="A17" sqref="A17"/>
    </sheetView>
  </sheetViews>
  <sheetFormatPr defaultColWidth="14.44140625" defaultRowHeight="15.75" customHeight="1"/>
  <cols>
    <col min="1" max="1" width="56.5546875" customWidth="1"/>
    <col min="2" max="2" width="40.44140625" customWidth="1"/>
    <col min="3" max="3" width="25.5546875" bestFit="1" customWidth="1"/>
    <col min="4" max="4" width="39.33203125" bestFit="1" customWidth="1"/>
    <col min="5" max="5" width="43.33203125" bestFit="1" customWidth="1"/>
    <col min="6" max="6" width="22.5" bestFit="1" customWidth="1"/>
    <col min="7" max="7" width="22.71875" bestFit="1" customWidth="1"/>
    <col min="8" max="8" width="49.1640625" bestFit="1" customWidth="1"/>
    <col min="9" max="9" width="42.5546875" bestFit="1" customWidth="1"/>
    <col min="10" max="10" width="38.71875" bestFit="1" customWidth="1"/>
    <col min="11" max="11" width="53.44140625" bestFit="1" customWidth="1"/>
    <col min="12" max="12" width="49.83203125" bestFit="1" customWidth="1"/>
    <col min="13" max="13" width="36.5546875" bestFit="1" customWidth="1"/>
    <col min="14" max="14" width="54.1640625" bestFit="1" customWidth="1"/>
    <col min="15" max="15" width="53.27734375" bestFit="1" customWidth="1"/>
    <col min="16" max="16" width="52.71875" bestFit="1" customWidth="1"/>
    <col min="17" max="17" width="51.5546875" bestFit="1" customWidth="1"/>
    <col min="18" max="18" width="44.44140625" bestFit="1" customWidth="1"/>
    <col min="19" max="19" width="37.1640625" bestFit="1" customWidth="1"/>
    <col min="20" max="20" width="51.1640625" bestFit="1" customWidth="1"/>
    <col min="21" max="21" width="38.1640625" bestFit="1" customWidth="1"/>
    <col min="22" max="22" width="25.83203125" bestFit="1" customWidth="1"/>
    <col min="23" max="23" width="59.44140625" bestFit="1" customWidth="1"/>
    <col min="24" max="24" width="59.27734375" bestFit="1" customWidth="1"/>
    <col min="25" max="25" width="59.5546875" bestFit="1" customWidth="1"/>
    <col min="26" max="26" width="46.83203125" bestFit="1" customWidth="1"/>
    <col min="27" max="27" width="44.71875" bestFit="1" customWidth="1"/>
    <col min="28" max="28" width="60.83203125" bestFit="1" customWidth="1"/>
    <col min="29" max="29" width="57.44140625" bestFit="1" customWidth="1"/>
    <col min="30" max="30" width="38.44140625" bestFit="1" customWidth="1"/>
    <col min="32" max="32" width="57.5546875" bestFit="1" customWidth="1"/>
    <col min="33" max="33" width="56.83203125" style="16" bestFit="1" customWidth="1"/>
    <col min="35" max="35" width="16.5546875" bestFit="1" customWidth="1"/>
    <col min="36" max="36" width="20.71875" bestFit="1" customWidth="1"/>
    <col min="37" max="37" width="22.83203125" bestFit="1" customWidth="1"/>
    <col min="38" max="38" width="21.44140625" bestFit="1" customWidth="1"/>
  </cols>
  <sheetData>
    <row r="1" spans="1:38" ht="15.75" customHeight="1">
      <c r="A1" s="64" t="s">
        <v>0</v>
      </c>
      <c r="B1" s="65" t="s">
        <v>497</v>
      </c>
      <c r="C1" s="61" t="s">
        <v>521</v>
      </c>
      <c r="D1" s="62"/>
      <c r="E1" s="62"/>
      <c r="F1" s="63" t="s">
        <v>536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1"/>
      <c r="AF1" s="15" t="s">
        <v>449</v>
      </c>
      <c r="AG1" s="20" t="s">
        <v>452</v>
      </c>
      <c r="AH1" s="12" t="s">
        <v>450</v>
      </c>
      <c r="AI1" s="12" t="s">
        <v>451</v>
      </c>
      <c r="AJ1" s="12" t="s">
        <v>453</v>
      </c>
      <c r="AK1" s="12" t="s">
        <v>454</v>
      </c>
      <c r="AL1" s="12" t="s">
        <v>455</v>
      </c>
    </row>
    <row r="2" spans="1:38" ht="15.75" customHeight="1">
      <c r="A2" s="62"/>
      <c r="B2" s="62"/>
      <c r="C2" s="2" t="s">
        <v>520</v>
      </c>
      <c r="D2" s="2" t="s">
        <v>522</v>
      </c>
      <c r="E2" s="2" t="s">
        <v>523</v>
      </c>
      <c r="F2" s="3" t="s">
        <v>491</v>
      </c>
      <c r="G2" s="3" t="s">
        <v>524</v>
      </c>
      <c r="H2" s="4" t="s">
        <v>525</v>
      </c>
      <c r="I2" s="60" t="s">
        <v>526</v>
      </c>
      <c r="J2" s="4" t="s">
        <v>527</v>
      </c>
      <c r="K2" s="4" t="s">
        <v>528</v>
      </c>
      <c r="L2" s="4" t="s">
        <v>529</v>
      </c>
      <c r="M2" s="4" t="s">
        <v>530</v>
      </c>
      <c r="N2" s="4" t="s">
        <v>531</v>
      </c>
      <c r="O2" s="4" t="s">
        <v>532</v>
      </c>
      <c r="P2" s="4" t="s">
        <v>533</v>
      </c>
      <c r="Q2" s="4" t="s">
        <v>534</v>
      </c>
      <c r="R2" s="4" t="s">
        <v>535</v>
      </c>
      <c r="S2" s="4" t="s">
        <v>537</v>
      </c>
      <c r="T2" s="4" t="s">
        <v>538</v>
      </c>
      <c r="U2" s="4" t="s">
        <v>539</v>
      </c>
      <c r="V2" s="3" t="s">
        <v>540</v>
      </c>
      <c r="W2" s="4" t="s">
        <v>541</v>
      </c>
      <c r="X2" s="4" t="s">
        <v>542</v>
      </c>
      <c r="Y2" s="4" t="s">
        <v>543</v>
      </c>
      <c r="Z2" s="4" t="s">
        <v>544</v>
      </c>
      <c r="AA2" s="4" t="s">
        <v>545</v>
      </c>
      <c r="AB2" s="4" t="s">
        <v>546</v>
      </c>
      <c r="AC2" s="4" t="s">
        <v>547</v>
      </c>
      <c r="AD2" s="4" t="s">
        <v>548</v>
      </c>
      <c r="AE2" s="5"/>
      <c r="AF2" s="18">
        <f>COUNTA(AG2:AG226)</f>
        <v>225</v>
      </c>
      <c r="AG2" s="6" t="s">
        <v>1</v>
      </c>
      <c r="AH2">
        <f>COUNTIF($A$3:$A$786,AG2)</f>
        <v>1</v>
      </c>
      <c r="AI2">
        <f>AH2*2</f>
        <v>2</v>
      </c>
      <c r="AJ2">
        <f>SUM(AI2:AI226)</f>
        <v>1568</v>
      </c>
      <c r="AK2" s="19">
        <f>AVERAGE(AI2:AI226)</f>
        <v>6.9688888888888885</v>
      </c>
      <c r="AL2" s="19">
        <f>AVERAGE(G3:G786)</f>
        <v>1.7181122448979591</v>
      </c>
    </row>
    <row r="3" spans="1:38" ht="15.75" customHeight="1">
      <c r="A3" s="6" t="s">
        <v>1</v>
      </c>
      <c r="B3" s="6" t="s">
        <v>2</v>
      </c>
      <c r="C3" s="7">
        <v>14</v>
      </c>
      <c r="D3" s="7">
        <v>0</v>
      </c>
      <c r="E3" s="7">
        <v>1</v>
      </c>
      <c r="F3" s="7">
        <v>1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1</v>
      </c>
      <c r="W3" s="7">
        <v>0</v>
      </c>
      <c r="X3" s="7">
        <v>0</v>
      </c>
      <c r="Y3" s="7">
        <v>0</v>
      </c>
      <c r="Z3" s="7">
        <v>1</v>
      </c>
      <c r="AA3" s="7">
        <v>0</v>
      </c>
      <c r="AB3" s="7">
        <v>0</v>
      </c>
      <c r="AC3" s="7">
        <v>0</v>
      </c>
      <c r="AD3" s="7">
        <v>0</v>
      </c>
      <c r="AE3" s="8"/>
      <c r="AF3" s="6"/>
      <c r="AG3" s="6" t="s">
        <v>3</v>
      </c>
      <c r="AH3" s="16">
        <f t="shared" ref="AH3:AH66" si="0">COUNTIF($A$3:$A$786,AG3)</f>
        <v>1</v>
      </c>
      <c r="AI3" s="16">
        <f t="shared" ref="AI3:AI66" si="1">AH3*2</f>
        <v>2</v>
      </c>
    </row>
    <row r="4" spans="1:38" ht="15.75" customHeight="1">
      <c r="A4" s="6" t="s">
        <v>3</v>
      </c>
      <c r="B4" s="6" t="s">
        <v>4</v>
      </c>
      <c r="C4" s="7">
        <v>20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8"/>
      <c r="AF4" s="6"/>
      <c r="AG4" s="6" t="s">
        <v>5</v>
      </c>
      <c r="AH4" s="16">
        <f t="shared" si="0"/>
        <v>1</v>
      </c>
      <c r="AI4" s="16">
        <f t="shared" si="1"/>
        <v>2</v>
      </c>
    </row>
    <row r="5" spans="1:38" ht="15.75" customHeight="1">
      <c r="A5" s="6" t="s">
        <v>5</v>
      </c>
      <c r="B5" s="6" t="s">
        <v>6</v>
      </c>
      <c r="C5" s="7">
        <v>26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8"/>
      <c r="AF5" s="6"/>
      <c r="AG5" s="6" t="s">
        <v>7</v>
      </c>
      <c r="AH5" s="16">
        <f t="shared" si="0"/>
        <v>2</v>
      </c>
      <c r="AI5" s="16">
        <f t="shared" si="1"/>
        <v>4</v>
      </c>
    </row>
    <row r="6" spans="1:38" ht="15.75" customHeight="1">
      <c r="A6" s="6" t="s">
        <v>7</v>
      </c>
      <c r="B6" s="6" t="s">
        <v>8</v>
      </c>
      <c r="C6" s="7">
        <v>58</v>
      </c>
      <c r="D6" s="7">
        <v>3</v>
      </c>
      <c r="E6" s="7">
        <v>20</v>
      </c>
      <c r="F6" s="7">
        <v>60</v>
      </c>
      <c r="G6" s="7">
        <v>11</v>
      </c>
      <c r="H6" s="7">
        <v>0</v>
      </c>
      <c r="I6" s="7">
        <v>0</v>
      </c>
      <c r="J6" s="7">
        <v>0</v>
      </c>
      <c r="K6" s="7">
        <v>2</v>
      </c>
      <c r="L6" s="7">
        <v>0</v>
      </c>
      <c r="M6" s="7">
        <v>0</v>
      </c>
      <c r="N6" s="7">
        <v>0</v>
      </c>
      <c r="O6" s="7">
        <v>0</v>
      </c>
      <c r="P6" s="7">
        <v>9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49</v>
      </c>
      <c r="W6" s="7">
        <v>0</v>
      </c>
      <c r="X6" s="7">
        <v>0</v>
      </c>
      <c r="Y6" s="7">
        <v>0</v>
      </c>
      <c r="Z6" s="7">
        <v>49</v>
      </c>
      <c r="AA6" s="7">
        <v>0</v>
      </c>
      <c r="AB6" s="7">
        <v>0</v>
      </c>
      <c r="AC6" s="7">
        <v>0</v>
      </c>
      <c r="AD6" s="7">
        <v>0</v>
      </c>
      <c r="AE6" s="8"/>
      <c r="AF6" s="6"/>
      <c r="AG6" s="6" t="s">
        <v>10</v>
      </c>
      <c r="AH6" s="16">
        <f t="shared" si="0"/>
        <v>2</v>
      </c>
      <c r="AI6" s="16">
        <f t="shared" si="1"/>
        <v>4</v>
      </c>
    </row>
    <row r="7" spans="1:38" ht="15.75" customHeight="1">
      <c r="A7" s="6" t="s">
        <v>7</v>
      </c>
      <c r="B7" s="6" t="s">
        <v>9</v>
      </c>
      <c r="C7" s="7">
        <v>58</v>
      </c>
      <c r="D7" s="7">
        <v>1</v>
      </c>
      <c r="E7" s="7">
        <v>2</v>
      </c>
      <c r="F7" s="7">
        <v>10</v>
      </c>
      <c r="G7" s="7">
        <v>4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4</v>
      </c>
      <c r="S7" s="7">
        <v>0</v>
      </c>
      <c r="T7" s="7">
        <v>0</v>
      </c>
      <c r="U7" s="7">
        <v>0</v>
      </c>
      <c r="V7" s="7">
        <v>6</v>
      </c>
      <c r="W7" s="7">
        <v>0</v>
      </c>
      <c r="X7" s="7">
        <v>0</v>
      </c>
      <c r="Y7" s="7">
        <v>0</v>
      </c>
      <c r="Z7" s="7">
        <v>1</v>
      </c>
      <c r="AA7" s="7">
        <v>5</v>
      </c>
      <c r="AB7" s="7">
        <v>0</v>
      </c>
      <c r="AC7" s="7">
        <v>0</v>
      </c>
      <c r="AD7" s="7">
        <v>0</v>
      </c>
      <c r="AE7" s="8"/>
      <c r="AF7" s="6"/>
      <c r="AG7" s="6" t="s">
        <v>11</v>
      </c>
      <c r="AH7" s="16">
        <f t="shared" si="0"/>
        <v>2</v>
      </c>
      <c r="AI7" s="16">
        <f t="shared" si="1"/>
        <v>4</v>
      </c>
    </row>
    <row r="8" spans="1:38" ht="15.75" customHeight="1">
      <c r="A8" s="6" t="s">
        <v>10</v>
      </c>
      <c r="B8" s="6" t="s">
        <v>8</v>
      </c>
      <c r="C8" s="7">
        <v>2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8"/>
      <c r="AF8" s="6"/>
      <c r="AG8" s="6" t="s">
        <v>12</v>
      </c>
      <c r="AH8" s="16">
        <f t="shared" si="0"/>
        <v>2</v>
      </c>
      <c r="AI8" s="16">
        <f t="shared" si="1"/>
        <v>4</v>
      </c>
    </row>
    <row r="9" spans="1:38" ht="15.75" customHeight="1">
      <c r="A9" s="6" t="s">
        <v>10</v>
      </c>
      <c r="B9" s="6" t="s">
        <v>9</v>
      </c>
      <c r="C9" s="7">
        <v>2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8"/>
      <c r="AF9" s="6"/>
      <c r="AG9" s="6" t="s">
        <v>13</v>
      </c>
      <c r="AH9" s="16">
        <f t="shared" si="0"/>
        <v>2</v>
      </c>
      <c r="AI9" s="16">
        <f t="shared" si="1"/>
        <v>4</v>
      </c>
    </row>
    <row r="10" spans="1:38" ht="15.75" customHeight="1">
      <c r="A10" s="6" t="s">
        <v>11</v>
      </c>
      <c r="B10" s="6" t="s">
        <v>8</v>
      </c>
      <c r="C10" s="7">
        <v>4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8"/>
      <c r="AF10" s="6"/>
      <c r="AG10" s="6" t="s">
        <v>14</v>
      </c>
      <c r="AH10" s="16">
        <f t="shared" si="0"/>
        <v>2</v>
      </c>
      <c r="AI10" s="16">
        <f t="shared" si="1"/>
        <v>4</v>
      </c>
    </row>
    <row r="11" spans="1:38" ht="15.75" customHeight="1">
      <c r="A11" s="6" t="s">
        <v>11</v>
      </c>
      <c r="B11" s="6" t="s">
        <v>9</v>
      </c>
      <c r="C11" s="7">
        <v>4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8"/>
      <c r="AF11" s="6"/>
      <c r="AG11" s="6" t="s">
        <v>15</v>
      </c>
      <c r="AH11" s="16">
        <f t="shared" si="0"/>
        <v>4</v>
      </c>
      <c r="AI11" s="16">
        <f t="shared" si="1"/>
        <v>8</v>
      </c>
    </row>
    <row r="12" spans="1:38" ht="15.75" customHeight="1">
      <c r="A12" s="6" t="s">
        <v>12</v>
      </c>
      <c r="B12" s="6" t="s">
        <v>8</v>
      </c>
      <c r="C12" s="7">
        <v>4</v>
      </c>
      <c r="D12" s="7">
        <v>0</v>
      </c>
      <c r="E12" s="7">
        <v>1</v>
      </c>
      <c r="F12" s="7">
        <v>1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1</v>
      </c>
      <c r="W12" s="7">
        <v>0</v>
      </c>
      <c r="X12" s="7">
        <v>0</v>
      </c>
      <c r="Y12" s="7">
        <v>0</v>
      </c>
      <c r="Z12" s="7">
        <v>1</v>
      </c>
      <c r="AA12" s="7">
        <v>0</v>
      </c>
      <c r="AB12" s="7">
        <v>0</v>
      </c>
      <c r="AC12" s="7">
        <v>0</v>
      </c>
      <c r="AD12" s="7">
        <v>0</v>
      </c>
      <c r="AE12" s="8"/>
      <c r="AF12" s="6"/>
      <c r="AG12" s="6" t="s">
        <v>18</v>
      </c>
      <c r="AH12" s="16">
        <f t="shared" si="0"/>
        <v>5</v>
      </c>
      <c r="AI12" s="16">
        <f t="shared" si="1"/>
        <v>10</v>
      </c>
    </row>
    <row r="13" spans="1:38" ht="15.75" customHeight="1">
      <c r="A13" s="6" t="s">
        <v>12</v>
      </c>
      <c r="B13" s="6" t="s">
        <v>9</v>
      </c>
      <c r="C13" s="7">
        <v>5</v>
      </c>
      <c r="D13" s="7">
        <v>1</v>
      </c>
      <c r="E13" s="7">
        <v>1</v>
      </c>
      <c r="F13" s="7">
        <v>7</v>
      </c>
      <c r="G13" s="7">
        <v>5</v>
      </c>
      <c r="H13" s="7">
        <v>0</v>
      </c>
      <c r="I13" s="7">
        <v>0</v>
      </c>
      <c r="J13" s="7">
        <v>0</v>
      </c>
      <c r="K13" s="7">
        <v>5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2</v>
      </c>
      <c r="W13" s="7">
        <v>0</v>
      </c>
      <c r="X13" s="7">
        <v>0</v>
      </c>
      <c r="Y13" s="7">
        <v>0</v>
      </c>
      <c r="Z13" s="7">
        <v>0</v>
      </c>
      <c r="AA13" s="7">
        <v>2</v>
      </c>
      <c r="AB13" s="7">
        <v>0</v>
      </c>
      <c r="AC13" s="7">
        <v>0</v>
      </c>
      <c r="AD13" s="7">
        <v>0</v>
      </c>
      <c r="AE13" s="8"/>
      <c r="AF13" s="6"/>
      <c r="AG13" s="6" t="s">
        <v>20</v>
      </c>
      <c r="AH13" s="16">
        <f t="shared" si="0"/>
        <v>3</v>
      </c>
      <c r="AI13" s="16">
        <f t="shared" si="1"/>
        <v>6</v>
      </c>
    </row>
    <row r="14" spans="1:38" ht="15.75" customHeight="1">
      <c r="A14" s="6" t="s">
        <v>13</v>
      </c>
      <c r="B14" s="6" t="s">
        <v>8</v>
      </c>
      <c r="C14" s="7">
        <v>6</v>
      </c>
      <c r="D14" s="7">
        <v>0</v>
      </c>
      <c r="E14" s="7">
        <v>3</v>
      </c>
      <c r="F14" s="7">
        <v>7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7</v>
      </c>
      <c r="W14" s="7">
        <v>0</v>
      </c>
      <c r="X14" s="7">
        <v>0</v>
      </c>
      <c r="Y14" s="7">
        <v>0</v>
      </c>
      <c r="Z14" s="7">
        <v>7</v>
      </c>
      <c r="AA14" s="7">
        <v>0</v>
      </c>
      <c r="AB14" s="7">
        <v>0</v>
      </c>
      <c r="AC14" s="7">
        <v>0</v>
      </c>
      <c r="AD14" s="7">
        <v>0</v>
      </c>
      <c r="AE14" s="8"/>
      <c r="AF14" s="6"/>
      <c r="AG14" s="6" t="s">
        <v>21</v>
      </c>
      <c r="AH14" s="16">
        <f t="shared" si="0"/>
        <v>1</v>
      </c>
      <c r="AI14" s="16">
        <f t="shared" si="1"/>
        <v>2</v>
      </c>
    </row>
    <row r="15" spans="1:38" ht="15.75" customHeight="1">
      <c r="A15" s="6" t="s">
        <v>13</v>
      </c>
      <c r="B15" s="6" t="s">
        <v>9</v>
      </c>
      <c r="C15" s="7">
        <v>6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8"/>
      <c r="AF15" s="6"/>
      <c r="AG15" s="6" t="s">
        <v>22</v>
      </c>
      <c r="AH15" s="16">
        <f t="shared" si="0"/>
        <v>2</v>
      </c>
      <c r="AI15" s="16">
        <f t="shared" si="1"/>
        <v>4</v>
      </c>
    </row>
    <row r="16" spans="1:38" ht="15.75" customHeight="1">
      <c r="A16" s="6" t="s">
        <v>14</v>
      </c>
      <c r="B16" s="6" t="s">
        <v>8</v>
      </c>
      <c r="C16" s="7">
        <v>4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8"/>
      <c r="AF16" s="6"/>
      <c r="AG16" s="6" t="s">
        <v>23</v>
      </c>
      <c r="AH16" s="16">
        <f t="shared" si="0"/>
        <v>2</v>
      </c>
      <c r="AI16" s="16">
        <f t="shared" si="1"/>
        <v>4</v>
      </c>
    </row>
    <row r="17" spans="1:35" ht="15.75" customHeight="1">
      <c r="A17" s="6" t="s">
        <v>14</v>
      </c>
      <c r="B17" s="6" t="s">
        <v>9</v>
      </c>
      <c r="C17" s="7">
        <v>4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8"/>
      <c r="AF17" s="6"/>
      <c r="AG17" s="6" t="s">
        <v>24</v>
      </c>
      <c r="AH17" s="16">
        <f t="shared" si="0"/>
        <v>2</v>
      </c>
      <c r="AI17" s="16">
        <f t="shared" si="1"/>
        <v>4</v>
      </c>
    </row>
    <row r="18" spans="1:35" ht="15.75" customHeight="1">
      <c r="A18" s="6" t="s">
        <v>15</v>
      </c>
      <c r="B18" s="6" t="s">
        <v>16</v>
      </c>
      <c r="C18" s="7">
        <v>4</v>
      </c>
      <c r="D18" s="7">
        <v>0</v>
      </c>
      <c r="E18" s="7">
        <v>1</v>
      </c>
      <c r="F18" s="7">
        <v>4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4</v>
      </c>
      <c r="W18" s="7">
        <v>0</v>
      </c>
      <c r="X18" s="7">
        <v>0</v>
      </c>
      <c r="Y18" s="7">
        <v>0</v>
      </c>
      <c r="Z18" s="7">
        <v>2</v>
      </c>
      <c r="AA18" s="7">
        <v>2</v>
      </c>
      <c r="AB18" s="7">
        <v>0</v>
      </c>
      <c r="AC18" s="7">
        <v>0</v>
      </c>
      <c r="AD18" s="7">
        <v>0</v>
      </c>
      <c r="AE18" s="8"/>
      <c r="AF18" s="6"/>
      <c r="AG18" s="6" t="s">
        <v>25</v>
      </c>
      <c r="AH18" s="16">
        <f t="shared" si="0"/>
        <v>3</v>
      </c>
      <c r="AI18" s="16">
        <f t="shared" si="1"/>
        <v>6</v>
      </c>
    </row>
    <row r="19" spans="1:35" ht="15.75" customHeight="1">
      <c r="A19" s="6" t="s">
        <v>15</v>
      </c>
      <c r="B19" s="6" t="s">
        <v>17</v>
      </c>
      <c r="C19" s="7">
        <v>4</v>
      </c>
      <c r="D19" s="7">
        <v>0</v>
      </c>
      <c r="E19" s="7">
        <v>1</v>
      </c>
      <c r="F19" s="7">
        <v>4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4</v>
      </c>
      <c r="W19" s="7">
        <v>0</v>
      </c>
      <c r="X19" s="7">
        <v>0</v>
      </c>
      <c r="Y19" s="7">
        <v>0</v>
      </c>
      <c r="Z19" s="7">
        <v>3</v>
      </c>
      <c r="AA19" s="7">
        <v>1</v>
      </c>
      <c r="AB19" s="7">
        <v>0</v>
      </c>
      <c r="AC19" s="7">
        <v>0</v>
      </c>
      <c r="AD19" s="7">
        <v>0</v>
      </c>
      <c r="AE19" s="8"/>
      <c r="AF19" s="6"/>
      <c r="AG19" s="6" t="s">
        <v>26</v>
      </c>
      <c r="AH19" s="16">
        <f t="shared" si="0"/>
        <v>2</v>
      </c>
      <c r="AI19" s="16">
        <f t="shared" si="1"/>
        <v>4</v>
      </c>
    </row>
    <row r="20" spans="1:35" ht="15.75" customHeight="1">
      <c r="A20" s="6" t="s">
        <v>15</v>
      </c>
      <c r="B20" s="6" t="s">
        <v>8</v>
      </c>
      <c r="C20" s="7">
        <v>4</v>
      </c>
      <c r="D20" s="7">
        <v>0</v>
      </c>
      <c r="E20" s="7">
        <v>1</v>
      </c>
      <c r="F20" s="7">
        <v>1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1</v>
      </c>
      <c r="W20" s="7">
        <v>0</v>
      </c>
      <c r="X20" s="7">
        <v>0</v>
      </c>
      <c r="Y20" s="7">
        <v>0</v>
      </c>
      <c r="Z20" s="7">
        <v>1</v>
      </c>
      <c r="AA20" s="7">
        <v>0</v>
      </c>
      <c r="AB20" s="7">
        <v>0</v>
      </c>
      <c r="AC20" s="7">
        <v>0</v>
      </c>
      <c r="AD20" s="7">
        <v>0</v>
      </c>
      <c r="AE20" s="8"/>
      <c r="AF20" s="6"/>
      <c r="AG20" s="6" t="s">
        <v>27</v>
      </c>
      <c r="AH20" s="16">
        <f t="shared" si="0"/>
        <v>4</v>
      </c>
      <c r="AI20" s="16">
        <f t="shared" si="1"/>
        <v>8</v>
      </c>
    </row>
    <row r="21" spans="1:35" ht="15.75" customHeight="1">
      <c r="A21" s="6" t="s">
        <v>15</v>
      </c>
      <c r="B21" s="6" t="s">
        <v>9</v>
      </c>
      <c r="C21" s="7">
        <v>4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8"/>
      <c r="AF21" s="6"/>
      <c r="AG21" s="6" t="s">
        <v>28</v>
      </c>
      <c r="AH21" s="16">
        <f t="shared" si="0"/>
        <v>2</v>
      </c>
      <c r="AI21" s="16">
        <f t="shared" si="1"/>
        <v>4</v>
      </c>
    </row>
    <row r="22" spans="1:35" ht="15.75" customHeight="1">
      <c r="A22" s="6" t="s">
        <v>18</v>
      </c>
      <c r="B22" s="6" t="s">
        <v>16</v>
      </c>
      <c r="C22" s="7">
        <v>23</v>
      </c>
      <c r="D22" s="7">
        <v>7</v>
      </c>
      <c r="E22" s="7">
        <v>6</v>
      </c>
      <c r="F22" s="7">
        <v>27</v>
      </c>
      <c r="G22" s="7">
        <v>19</v>
      </c>
      <c r="H22" s="7">
        <v>0</v>
      </c>
      <c r="I22" s="7">
        <v>0</v>
      </c>
      <c r="J22" s="7">
        <v>0</v>
      </c>
      <c r="K22" s="7">
        <v>1</v>
      </c>
      <c r="L22" s="7">
        <v>0</v>
      </c>
      <c r="M22" s="7">
        <v>1</v>
      </c>
      <c r="N22" s="7">
        <v>5</v>
      </c>
      <c r="O22" s="7">
        <v>0</v>
      </c>
      <c r="P22" s="7">
        <v>0</v>
      </c>
      <c r="Q22" s="7">
        <v>0</v>
      </c>
      <c r="R22" s="7">
        <v>12</v>
      </c>
      <c r="S22" s="7">
        <v>0</v>
      </c>
      <c r="T22" s="7">
        <v>0</v>
      </c>
      <c r="U22" s="7">
        <v>0</v>
      </c>
      <c r="V22" s="7">
        <v>8</v>
      </c>
      <c r="W22" s="7">
        <v>0</v>
      </c>
      <c r="X22" s="7">
        <v>0</v>
      </c>
      <c r="Y22" s="7">
        <v>0</v>
      </c>
      <c r="Z22" s="7">
        <v>8</v>
      </c>
      <c r="AA22" s="7">
        <v>0</v>
      </c>
      <c r="AB22" s="7">
        <v>0</v>
      </c>
      <c r="AC22" s="7">
        <v>0</v>
      </c>
      <c r="AD22" s="7">
        <v>0</v>
      </c>
      <c r="AE22" s="8"/>
      <c r="AF22" s="6"/>
      <c r="AG22" s="6" t="s">
        <v>29</v>
      </c>
      <c r="AH22" s="16">
        <f t="shared" si="0"/>
        <v>2</v>
      </c>
      <c r="AI22" s="16">
        <f t="shared" si="1"/>
        <v>4</v>
      </c>
    </row>
    <row r="23" spans="1:35" ht="15.75" customHeight="1">
      <c r="A23" s="6" t="s">
        <v>18</v>
      </c>
      <c r="B23" s="6" t="s">
        <v>17</v>
      </c>
      <c r="C23" s="7">
        <v>23</v>
      </c>
      <c r="D23" s="7">
        <v>3</v>
      </c>
      <c r="E23" s="7">
        <v>7</v>
      </c>
      <c r="F23" s="7">
        <v>17</v>
      </c>
      <c r="G23" s="7">
        <v>9</v>
      </c>
      <c r="H23" s="7">
        <v>0</v>
      </c>
      <c r="I23" s="7">
        <v>0</v>
      </c>
      <c r="J23" s="7">
        <v>0</v>
      </c>
      <c r="K23" s="7">
        <v>6</v>
      </c>
      <c r="L23" s="7">
        <v>0</v>
      </c>
      <c r="M23" s="7">
        <v>1</v>
      </c>
      <c r="N23" s="7">
        <v>2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8</v>
      </c>
      <c r="W23" s="7">
        <v>0</v>
      </c>
      <c r="X23" s="7">
        <v>0</v>
      </c>
      <c r="Y23" s="7">
        <v>0</v>
      </c>
      <c r="Z23" s="7">
        <v>7</v>
      </c>
      <c r="AA23" s="7">
        <v>1</v>
      </c>
      <c r="AB23" s="7">
        <v>0</v>
      </c>
      <c r="AC23" s="7">
        <v>0</v>
      </c>
      <c r="AD23" s="7">
        <v>0</v>
      </c>
      <c r="AE23" s="8"/>
      <c r="AF23" s="6"/>
      <c r="AG23" s="6" t="s">
        <v>30</v>
      </c>
      <c r="AH23" s="16">
        <f t="shared" si="0"/>
        <v>2</v>
      </c>
      <c r="AI23" s="16">
        <f t="shared" si="1"/>
        <v>4</v>
      </c>
    </row>
    <row r="24" spans="1:35" ht="15.75" customHeight="1">
      <c r="A24" s="6" t="s">
        <v>18</v>
      </c>
      <c r="B24" s="6" t="s">
        <v>19</v>
      </c>
      <c r="C24" s="7">
        <v>24</v>
      </c>
      <c r="D24" s="7">
        <v>0</v>
      </c>
      <c r="E24" s="7">
        <v>6</v>
      </c>
      <c r="F24" s="7">
        <v>7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22</v>
      </c>
      <c r="W24" s="7">
        <v>0</v>
      </c>
      <c r="X24" s="7">
        <v>0</v>
      </c>
      <c r="Y24" s="7">
        <v>0</v>
      </c>
      <c r="Z24" s="7">
        <v>6</v>
      </c>
      <c r="AA24" s="7">
        <v>1</v>
      </c>
      <c r="AB24" s="7">
        <v>0</v>
      </c>
      <c r="AC24" s="7">
        <v>0</v>
      </c>
      <c r="AD24" s="7">
        <v>0</v>
      </c>
      <c r="AE24" s="8"/>
      <c r="AF24" s="6"/>
      <c r="AG24" s="6" t="s">
        <v>31</v>
      </c>
      <c r="AH24" s="16">
        <f t="shared" si="0"/>
        <v>1</v>
      </c>
      <c r="AI24" s="16">
        <f t="shared" si="1"/>
        <v>2</v>
      </c>
    </row>
    <row r="25" spans="1:35" ht="15.75" customHeight="1">
      <c r="A25" s="6" t="s">
        <v>18</v>
      </c>
      <c r="B25" s="6" t="s">
        <v>8</v>
      </c>
      <c r="C25" s="7">
        <v>22</v>
      </c>
      <c r="D25" s="7">
        <v>2</v>
      </c>
      <c r="E25" s="7">
        <v>5</v>
      </c>
      <c r="F25" s="7">
        <v>21</v>
      </c>
      <c r="G25" s="7">
        <v>15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2</v>
      </c>
      <c r="N25" s="7">
        <v>10</v>
      </c>
      <c r="O25" s="7">
        <v>0</v>
      </c>
      <c r="P25" s="7">
        <v>0</v>
      </c>
      <c r="Q25" s="7">
        <v>0</v>
      </c>
      <c r="R25" s="7">
        <v>3</v>
      </c>
      <c r="S25" s="7">
        <v>0</v>
      </c>
      <c r="T25" s="7">
        <v>0</v>
      </c>
      <c r="U25" s="7">
        <v>0</v>
      </c>
      <c r="V25" s="7">
        <v>6</v>
      </c>
      <c r="W25" s="7">
        <v>0</v>
      </c>
      <c r="X25" s="7">
        <v>0</v>
      </c>
      <c r="Y25" s="7">
        <v>0</v>
      </c>
      <c r="Z25" s="7">
        <v>6</v>
      </c>
      <c r="AA25" s="7">
        <v>0</v>
      </c>
      <c r="AB25" s="7">
        <v>0</v>
      </c>
      <c r="AC25" s="7">
        <v>0</v>
      </c>
      <c r="AD25" s="7">
        <v>0</v>
      </c>
      <c r="AE25" s="8"/>
      <c r="AF25" s="6"/>
      <c r="AG25" s="6" t="s">
        <v>32</v>
      </c>
      <c r="AH25" s="16">
        <f t="shared" si="0"/>
        <v>2</v>
      </c>
      <c r="AI25" s="16">
        <f t="shared" si="1"/>
        <v>4</v>
      </c>
    </row>
    <row r="26" spans="1:35" ht="12.3">
      <c r="A26" s="6" t="s">
        <v>18</v>
      </c>
      <c r="B26" s="6" t="s">
        <v>9</v>
      </c>
      <c r="C26" s="7">
        <v>20</v>
      </c>
      <c r="D26" s="7">
        <v>0</v>
      </c>
      <c r="E26" s="7">
        <v>8</v>
      </c>
      <c r="F26" s="7">
        <v>17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17</v>
      </c>
      <c r="W26" s="7">
        <v>0</v>
      </c>
      <c r="X26" s="7">
        <v>0</v>
      </c>
      <c r="Y26" s="7">
        <v>0</v>
      </c>
      <c r="Z26" s="7">
        <v>6</v>
      </c>
      <c r="AA26" s="7">
        <v>11</v>
      </c>
      <c r="AB26" s="7">
        <v>0</v>
      </c>
      <c r="AC26" s="7">
        <v>0</v>
      </c>
      <c r="AD26" s="7">
        <v>0</v>
      </c>
      <c r="AE26" s="8"/>
      <c r="AF26" s="6"/>
      <c r="AG26" s="6" t="s">
        <v>33</v>
      </c>
      <c r="AH26" s="16">
        <f t="shared" si="0"/>
        <v>2</v>
      </c>
      <c r="AI26" s="16">
        <f t="shared" si="1"/>
        <v>4</v>
      </c>
    </row>
    <row r="27" spans="1:35" ht="12.3">
      <c r="A27" s="6" t="s">
        <v>20</v>
      </c>
      <c r="B27" s="6" t="s">
        <v>17</v>
      </c>
      <c r="C27" s="7">
        <v>8</v>
      </c>
      <c r="D27" s="7">
        <v>0</v>
      </c>
      <c r="E27" s="7">
        <v>2</v>
      </c>
      <c r="F27" s="7">
        <v>14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14</v>
      </c>
      <c r="W27" s="7">
        <v>0</v>
      </c>
      <c r="X27" s="7">
        <v>0</v>
      </c>
      <c r="Y27" s="7">
        <v>0</v>
      </c>
      <c r="Z27" s="7">
        <v>11</v>
      </c>
      <c r="AA27" s="7">
        <v>3</v>
      </c>
      <c r="AB27" s="7">
        <v>0</v>
      </c>
      <c r="AC27" s="7">
        <v>0</v>
      </c>
      <c r="AD27" s="7">
        <v>0</v>
      </c>
      <c r="AE27" s="8"/>
      <c r="AF27" s="6"/>
      <c r="AG27" s="6" t="s">
        <v>34</v>
      </c>
      <c r="AH27" s="16">
        <f t="shared" si="0"/>
        <v>1</v>
      </c>
      <c r="AI27" s="16">
        <f t="shared" si="1"/>
        <v>2</v>
      </c>
    </row>
    <row r="28" spans="1:35" ht="12.3">
      <c r="A28" s="6" t="s">
        <v>20</v>
      </c>
      <c r="B28" s="6" t="s">
        <v>8</v>
      </c>
      <c r="C28" s="7">
        <v>4</v>
      </c>
      <c r="D28" s="7">
        <v>0</v>
      </c>
      <c r="E28" s="7">
        <v>2</v>
      </c>
      <c r="F28" s="7">
        <v>3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3</v>
      </c>
      <c r="W28" s="7">
        <v>0</v>
      </c>
      <c r="X28" s="7">
        <v>0</v>
      </c>
      <c r="Y28" s="7">
        <v>0</v>
      </c>
      <c r="Z28" s="7">
        <v>3</v>
      </c>
      <c r="AA28" s="7">
        <v>0</v>
      </c>
      <c r="AB28" s="7">
        <v>0</v>
      </c>
      <c r="AC28" s="7">
        <v>0</v>
      </c>
      <c r="AD28" s="7">
        <v>0</v>
      </c>
      <c r="AE28" s="8"/>
      <c r="AF28" s="6"/>
      <c r="AG28" s="6" t="s">
        <v>35</v>
      </c>
      <c r="AH28" s="16">
        <f t="shared" si="0"/>
        <v>2</v>
      </c>
      <c r="AI28" s="16">
        <f t="shared" si="1"/>
        <v>4</v>
      </c>
    </row>
    <row r="29" spans="1:35" ht="12.3">
      <c r="A29" s="6" t="s">
        <v>20</v>
      </c>
      <c r="B29" s="6" t="s">
        <v>9</v>
      </c>
      <c r="C29" s="7">
        <v>4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8"/>
      <c r="AF29" s="6"/>
      <c r="AG29" s="6" t="s">
        <v>36</v>
      </c>
      <c r="AH29" s="16">
        <f t="shared" si="0"/>
        <v>2</v>
      </c>
      <c r="AI29" s="16">
        <f t="shared" si="1"/>
        <v>4</v>
      </c>
    </row>
    <row r="30" spans="1:35" ht="12.3">
      <c r="A30" s="6" t="s">
        <v>21</v>
      </c>
      <c r="B30" s="6" t="s">
        <v>19</v>
      </c>
      <c r="C30" s="7">
        <v>4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8"/>
      <c r="AF30" s="6"/>
      <c r="AG30" s="6" t="s">
        <v>37</v>
      </c>
      <c r="AH30" s="16">
        <f t="shared" si="0"/>
        <v>5</v>
      </c>
      <c r="AI30" s="16">
        <f t="shared" si="1"/>
        <v>10</v>
      </c>
    </row>
    <row r="31" spans="1:35" ht="12.3">
      <c r="A31" s="6" t="s">
        <v>22</v>
      </c>
      <c r="B31" s="6" t="s">
        <v>8</v>
      </c>
      <c r="C31" s="7">
        <v>4</v>
      </c>
      <c r="D31" s="7">
        <v>1</v>
      </c>
      <c r="E31" s="7">
        <v>1</v>
      </c>
      <c r="F31" s="7">
        <v>2</v>
      </c>
      <c r="G31" s="7">
        <v>1</v>
      </c>
      <c r="H31" s="7">
        <v>0</v>
      </c>
      <c r="I31" s="7">
        <v>0</v>
      </c>
      <c r="J31" s="7">
        <v>0</v>
      </c>
      <c r="K31" s="7">
        <v>1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1</v>
      </c>
      <c r="W31" s="7">
        <v>0</v>
      </c>
      <c r="X31" s="7">
        <v>0</v>
      </c>
      <c r="Y31" s="7">
        <v>0</v>
      </c>
      <c r="Z31" s="7">
        <v>1</v>
      </c>
      <c r="AA31" s="7">
        <v>0</v>
      </c>
      <c r="AB31" s="7">
        <v>0</v>
      </c>
      <c r="AC31" s="7">
        <v>0</v>
      </c>
      <c r="AD31" s="7">
        <v>0</v>
      </c>
      <c r="AE31" s="8"/>
      <c r="AF31" s="6"/>
      <c r="AG31" s="6" t="s">
        <v>38</v>
      </c>
      <c r="AH31" s="16">
        <f t="shared" si="0"/>
        <v>2</v>
      </c>
      <c r="AI31" s="16">
        <f t="shared" si="1"/>
        <v>4</v>
      </c>
    </row>
    <row r="32" spans="1:35" ht="12.3">
      <c r="A32" s="6" t="s">
        <v>22</v>
      </c>
      <c r="B32" s="6" t="s">
        <v>9</v>
      </c>
      <c r="C32" s="7">
        <v>4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8"/>
      <c r="AF32" s="6"/>
      <c r="AG32" s="6" t="s">
        <v>39</v>
      </c>
      <c r="AH32" s="16">
        <f t="shared" si="0"/>
        <v>4</v>
      </c>
      <c r="AI32" s="16">
        <f t="shared" si="1"/>
        <v>8</v>
      </c>
    </row>
    <row r="33" spans="1:35" ht="12.3">
      <c r="A33" s="6" t="s">
        <v>23</v>
      </c>
      <c r="B33" s="6" t="s">
        <v>8</v>
      </c>
      <c r="C33" s="7">
        <v>8</v>
      </c>
      <c r="D33" s="7">
        <v>0</v>
      </c>
      <c r="E33" s="7">
        <v>4</v>
      </c>
      <c r="F33" s="7">
        <v>14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14</v>
      </c>
      <c r="W33" s="7">
        <v>0</v>
      </c>
      <c r="X33" s="7">
        <v>0</v>
      </c>
      <c r="Y33" s="7">
        <v>0</v>
      </c>
      <c r="Z33" s="7">
        <v>14</v>
      </c>
      <c r="AA33" s="7">
        <v>0</v>
      </c>
      <c r="AB33" s="7">
        <v>0</v>
      </c>
      <c r="AC33" s="7">
        <v>0</v>
      </c>
      <c r="AD33" s="7">
        <v>0</v>
      </c>
      <c r="AE33" s="8"/>
      <c r="AF33" s="6"/>
      <c r="AG33" s="6" t="s">
        <v>40</v>
      </c>
      <c r="AH33" s="16">
        <f t="shared" si="0"/>
        <v>3</v>
      </c>
      <c r="AI33" s="16">
        <f t="shared" si="1"/>
        <v>6</v>
      </c>
    </row>
    <row r="34" spans="1:35" ht="12.3">
      <c r="A34" s="6" t="s">
        <v>23</v>
      </c>
      <c r="B34" s="6" t="s">
        <v>9</v>
      </c>
      <c r="C34" s="7">
        <v>8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8"/>
      <c r="AF34" s="6"/>
      <c r="AG34" s="6" t="s">
        <v>41</v>
      </c>
      <c r="AH34" s="16">
        <f t="shared" si="0"/>
        <v>3</v>
      </c>
      <c r="AI34" s="16">
        <f t="shared" si="1"/>
        <v>6</v>
      </c>
    </row>
    <row r="35" spans="1:35" ht="12.3">
      <c r="A35" s="6" t="s">
        <v>24</v>
      </c>
      <c r="B35" s="6" t="s">
        <v>8</v>
      </c>
      <c r="C35" s="7">
        <v>4</v>
      </c>
      <c r="D35" s="7">
        <v>0</v>
      </c>
      <c r="E35" s="7">
        <v>1</v>
      </c>
      <c r="F35" s="7">
        <v>1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1</v>
      </c>
      <c r="W35" s="7">
        <v>0</v>
      </c>
      <c r="X35" s="7">
        <v>0</v>
      </c>
      <c r="Y35" s="7">
        <v>0</v>
      </c>
      <c r="Z35" s="7">
        <v>1</v>
      </c>
      <c r="AA35" s="7">
        <v>0</v>
      </c>
      <c r="AB35" s="7">
        <v>0</v>
      </c>
      <c r="AC35" s="7">
        <v>0</v>
      </c>
      <c r="AD35" s="7">
        <v>0</v>
      </c>
      <c r="AE35" s="8"/>
      <c r="AF35" s="6"/>
      <c r="AG35" s="6" t="s">
        <v>42</v>
      </c>
      <c r="AH35" s="16">
        <f t="shared" si="0"/>
        <v>2</v>
      </c>
      <c r="AI35" s="16">
        <f t="shared" si="1"/>
        <v>4</v>
      </c>
    </row>
    <row r="36" spans="1:35" ht="12.3">
      <c r="A36" s="6" t="s">
        <v>24</v>
      </c>
      <c r="B36" s="6" t="s">
        <v>9</v>
      </c>
      <c r="C36" s="7">
        <v>5</v>
      </c>
      <c r="D36" s="7">
        <v>1</v>
      </c>
      <c r="E36" s="7">
        <v>1</v>
      </c>
      <c r="F36" s="7">
        <v>7</v>
      </c>
      <c r="G36" s="7">
        <v>5</v>
      </c>
      <c r="H36" s="7">
        <v>0</v>
      </c>
      <c r="I36" s="7">
        <v>0</v>
      </c>
      <c r="J36" s="7">
        <v>0</v>
      </c>
      <c r="K36" s="7">
        <v>5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2</v>
      </c>
      <c r="W36" s="7">
        <v>0</v>
      </c>
      <c r="X36" s="7">
        <v>0</v>
      </c>
      <c r="Y36" s="7">
        <v>0</v>
      </c>
      <c r="Z36" s="7">
        <v>0</v>
      </c>
      <c r="AA36" s="7">
        <v>2</v>
      </c>
      <c r="AB36" s="7">
        <v>0</v>
      </c>
      <c r="AC36" s="7">
        <v>0</v>
      </c>
      <c r="AD36" s="7">
        <v>0</v>
      </c>
      <c r="AE36" s="8"/>
      <c r="AF36" s="6"/>
      <c r="AG36" s="6" t="s">
        <v>43</v>
      </c>
      <c r="AH36" s="16">
        <f t="shared" si="0"/>
        <v>1</v>
      </c>
      <c r="AI36" s="16">
        <f t="shared" si="1"/>
        <v>2</v>
      </c>
    </row>
    <row r="37" spans="1:35" ht="12.3">
      <c r="A37" s="6" t="s">
        <v>25</v>
      </c>
      <c r="B37" s="6" t="s">
        <v>19</v>
      </c>
      <c r="C37" s="7">
        <v>3</v>
      </c>
      <c r="D37" s="7">
        <v>1</v>
      </c>
      <c r="E37" s="7">
        <v>2</v>
      </c>
      <c r="F37" s="7">
        <v>8</v>
      </c>
      <c r="G37" s="7">
        <v>5</v>
      </c>
      <c r="H37" s="7">
        <v>0</v>
      </c>
      <c r="I37" s="7">
        <v>0</v>
      </c>
      <c r="J37" s="7">
        <v>0</v>
      </c>
      <c r="K37" s="7">
        <v>5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3</v>
      </c>
      <c r="W37" s="7">
        <v>0</v>
      </c>
      <c r="X37" s="7">
        <v>0</v>
      </c>
      <c r="Y37" s="7">
        <v>0</v>
      </c>
      <c r="Z37" s="7">
        <v>1</v>
      </c>
      <c r="AA37" s="7">
        <v>2</v>
      </c>
      <c r="AB37" s="7">
        <v>0</v>
      </c>
      <c r="AC37" s="7">
        <v>0</v>
      </c>
      <c r="AD37" s="7">
        <v>0</v>
      </c>
      <c r="AE37" s="8"/>
      <c r="AF37" s="6"/>
      <c r="AG37" s="6" t="s">
        <v>44</v>
      </c>
      <c r="AH37" s="16">
        <f t="shared" si="0"/>
        <v>2</v>
      </c>
      <c r="AI37" s="16">
        <f t="shared" si="1"/>
        <v>4</v>
      </c>
    </row>
    <row r="38" spans="1:35" ht="12.3">
      <c r="A38" s="6" t="s">
        <v>25</v>
      </c>
      <c r="B38" s="6" t="s">
        <v>8</v>
      </c>
      <c r="C38" s="7">
        <v>4</v>
      </c>
      <c r="D38" s="7">
        <v>0</v>
      </c>
      <c r="E38" s="7">
        <v>1</v>
      </c>
      <c r="F38" s="7">
        <v>1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1</v>
      </c>
      <c r="W38" s="7">
        <v>0</v>
      </c>
      <c r="X38" s="7">
        <v>0</v>
      </c>
      <c r="Y38" s="7">
        <v>0</v>
      </c>
      <c r="Z38" s="7">
        <v>1</v>
      </c>
      <c r="AA38" s="7">
        <v>0</v>
      </c>
      <c r="AB38" s="7">
        <v>0</v>
      </c>
      <c r="AC38" s="7">
        <v>0</v>
      </c>
      <c r="AD38" s="7">
        <v>0</v>
      </c>
      <c r="AE38" s="8"/>
      <c r="AF38" s="6"/>
      <c r="AG38" s="6" t="s">
        <v>47</v>
      </c>
      <c r="AH38" s="16">
        <f t="shared" si="0"/>
        <v>1</v>
      </c>
      <c r="AI38" s="16">
        <f t="shared" si="1"/>
        <v>2</v>
      </c>
    </row>
    <row r="39" spans="1:35" ht="12.3">
      <c r="A39" s="6" t="s">
        <v>25</v>
      </c>
      <c r="B39" s="6" t="s">
        <v>9</v>
      </c>
      <c r="C39" s="7">
        <v>4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8"/>
      <c r="AF39" s="6"/>
      <c r="AG39" s="6" t="s">
        <v>49</v>
      </c>
      <c r="AH39" s="16">
        <f t="shared" si="0"/>
        <v>1</v>
      </c>
      <c r="AI39" s="16">
        <f t="shared" si="1"/>
        <v>2</v>
      </c>
    </row>
    <row r="40" spans="1:35" ht="12.3">
      <c r="A40" s="6" t="s">
        <v>26</v>
      </c>
      <c r="B40" s="6" t="s">
        <v>8</v>
      </c>
      <c r="C40" s="7">
        <v>4</v>
      </c>
      <c r="D40" s="7">
        <v>0</v>
      </c>
      <c r="E40" s="7">
        <v>0</v>
      </c>
      <c r="F40" s="7">
        <v>1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1</v>
      </c>
      <c r="W40" s="7">
        <v>0</v>
      </c>
      <c r="X40" s="7">
        <v>0</v>
      </c>
      <c r="Y40" s="7">
        <v>0</v>
      </c>
      <c r="Z40" s="7">
        <v>1</v>
      </c>
      <c r="AA40" s="7">
        <v>0</v>
      </c>
      <c r="AB40" s="7">
        <v>0</v>
      </c>
      <c r="AC40" s="7">
        <v>0</v>
      </c>
      <c r="AD40" s="7">
        <v>0</v>
      </c>
      <c r="AE40" s="8"/>
      <c r="AF40" s="6"/>
      <c r="AG40" s="6" t="s">
        <v>51</v>
      </c>
      <c r="AH40" s="16">
        <f t="shared" si="0"/>
        <v>1</v>
      </c>
      <c r="AI40" s="16">
        <f t="shared" si="1"/>
        <v>2</v>
      </c>
    </row>
    <row r="41" spans="1:35" ht="12.3">
      <c r="A41" s="6" t="s">
        <v>26</v>
      </c>
      <c r="B41" s="6" t="s">
        <v>9</v>
      </c>
      <c r="C41" s="7">
        <v>4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8"/>
      <c r="AF41" s="6"/>
      <c r="AG41" s="6" t="s">
        <v>53</v>
      </c>
      <c r="AH41" s="16">
        <f t="shared" si="0"/>
        <v>3</v>
      </c>
      <c r="AI41" s="16">
        <f t="shared" si="1"/>
        <v>6</v>
      </c>
    </row>
    <row r="42" spans="1:35" ht="12.3">
      <c r="A42" s="6" t="s">
        <v>27</v>
      </c>
      <c r="B42" s="6" t="s">
        <v>16</v>
      </c>
      <c r="C42" s="7">
        <v>3</v>
      </c>
      <c r="D42" s="7">
        <v>1</v>
      </c>
      <c r="E42" s="7">
        <v>1</v>
      </c>
      <c r="F42" s="7">
        <v>5</v>
      </c>
      <c r="G42" s="7">
        <v>3</v>
      </c>
      <c r="H42" s="7">
        <v>0</v>
      </c>
      <c r="I42" s="7">
        <v>0</v>
      </c>
      <c r="J42" s="7">
        <v>0</v>
      </c>
      <c r="K42" s="7">
        <v>3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2</v>
      </c>
      <c r="W42" s="7">
        <v>0</v>
      </c>
      <c r="X42" s="7">
        <v>0</v>
      </c>
      <c r="Y42" s="7">
        <v>0</v>
      </c>
      <c r="Z42" s="7">
        <v>0</v>
      </c>
      <c r="AA42" s="7">
        <v>2</v>
      </c>
      <c r="AB42" s="7">
        <v>0</v>
      </c>
      <c r="AC42" s="7">
        <v>0</v>
      </c>
      <c r="AD42" s="7">
        <v>0</v>
      </c>
      <c r="AE42" s="8"/>
      <c r="AF42" s="6"/>
      <c r="AG42" s="6" t="s">
        <v>57</v>
      </c>
      <c r="AH42" s="16">
        <f t="shared" si="0"/>
        <v>1</v>
      </c>
      <c r="AI42" s="16">
        <f t="shared" si="1"/>
        <v>2</v>
      </c>
    </row>
    <row r="43" spans="1:35" ht="12.3">
      <c r="A43" s="6" t="s">
        <v>27</v>
      </c>
      <c r="B43" s="6" t="s">
        <v>17</v>
      </c>
      <c r="C43" s="7">
        <v>4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8"/>
      <c r="AF43" s="6"/>
      <c r="AG43" s="6" t="s">
        <v>59</v>
      </c>
      <c r="AH43" s="16">
        <f t="shared" si="0"/>
        <v>1</v>
      </c>
      <c r="AI43" s="16">
        <f t="shared" si="1"/>
        <v>2</v>
      </c>
    </row>
    <row r="44" spans="1:35" ht="12.3">
      <c r="A44" s="6" t="s">
        <v>27</v>
      </c>
      <c r="B44" s="6" t="s">
        <v>8</v>
      </c>
      <c r="C44" s="7">
        <v>4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8"/>
      <c r="AF44" s="6"/>
      <c r="AG44" s="6" t="s">
        <v>60</v>
      </c>
      <c r="AH44" s="16">
        <f t="shared" si="0"/>
        <v>1</v>
      </c>
      <c r="AI44" s="16">
        <f t="shared" si="1"/>
        <v>2</v>
      </c>
    </row>
    <row r="45" spans="1:35" ht="12.3">
      <c r="A45" s="6" t="s">
        <v>27</v>
      </c>
      <c r="B45" s="6" t="s">
        <v>9</v>
      </c>
      <c r="C45" s="7">
        <v>4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8"/>
      <c r="AF45" s="6"/>
      <c r="AG45" s="6" t="s">
        <v>61</v>
      </c>
      <c r="AH45" s="16">
        <f t="shared" si="0"/>
        <v>1</v>
      </c>
      <c r="AI45" s="16">
        <f t="shared" si="1"/>
        <v>2</v>
      </c>
    </row>
    <row r="46" spans="1:35" ht="12.3">
      <c r="A46" s="6" t="s">
        <v>28</v>
      </c>
      <c r="B46" s="6" t="s">
        <v>8</v>
      </c>
      <c r="C46" s="7">
        <v>12</v>
      </c>
      <c r="D46" s="7">
        <v>0</v>
      </c>
      <c r="E46" s="7">
        <v>2</v>
      </c>
      <c r="F46" s="7">
        <v>5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5</v>
      </c>
      <c r="W46" s="7">
        <v>0</v>
      </c>
      <c r="X46" s="7">
        <v>0</v>
      </c>
      <c r="Y46" s="7">
        <v>0</v>
      </c>
      <c r="Z46" s="7">
        <v>3</v>
      </c>
      <c r="AA46" s="7">
        <v>2</v>
      </c>
      <c r="AB46" s="7">
        <v>0</v>
      </c>
      <c r="AC46" s="7">
        <v>0</v>
      </c>
      <c r="AD46" s="7">
        <v>0</v>
      </c>
      <c r="AE46" s="8"/>
      <c r="AF46" s="6"/>
      <c r="AG46" s="6" t="s">
        <v>63</v>
      </c>
      <c r="AH46" s="16">
        <f t="shared" si="0"/>
        <v>1</v>
      </c>
      <c r="AI46" s="16">
        <f t="shared" si="1"/>
        <v>2</v>
      </c>
    </row>
    <row r="47" spans="1:35" ht="12.3">
      <c r="A47" s="6" t="s">
        <v>28</v>
      </c>
      <c r="B47" s="6" t="s">
        <v>9</v>
      </c>
      <c r="C47" s="7">
        <v>12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8"/>
      <c r="AF47" s="6"/>
      <c r="AG47" s="6" t="s">
        <v>65</v>
      </c>
      <c r="AH47" s="16">
        <f t="shared" si="0"/>
        <v>1</v>
      </c>
      <c r="AI47" s="16">
        <f t="shared" si="1"/>
        <v>2</v>
      </c>
    </row>
    <row r="48" spans="1:35" ht="12.3">
      <c r="A48" s="6" t="s">
        <v>29</v>
      </c>
      <c r="B48" s="6" t="s">
        <v>8</v>
      </c>
      <c r="C48" s="7">
        <v>4</v>
      </c>
      <c r="D48" s="7">
        <v>0</v>
      </c>
      <c r="E48" s="7">
        <v>1</v>
      </c>
      <c r="F48" s="7">
        <v>1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1</v>
      </c>
      <c r="W48" s="7">
        <v>0</v>
      </c>
      <c r="X48" s="7">
        <v>0</v>
      </c>
      <c r="Y48" s="7">
        <v>0</v>
      </c>
      <c r="Z48" s="7">
        <v>1</v>
      </c>
      <c r="AA48" s="7">
        <v>0</v>
      </c>
      <c r="AB48" s="7">
        <v>0</v>
      </c>
      <c r="AC48" s="7">
        <v>0</v>
      </c>
      <c r="AD48" s="7">
        <v>0</v>
      </c>
      <c r="AE48" s="8"/>
      <c r="AF48" s="6"/>
      <c r="AG48" s="6" t="s">
        <v>67</v>
      </c>
      <c r="AH48" s="16">
        <f t="shared" si="0"/>
        <v>1</v>
      </c>
      <c r="AI48" s="16">
        <f t="shared" si="1"/>
        <v>2</v>
      </c>
    </row>
    <row r="49" spans="1:35" ht="12.3">
      <c r="A49" s="6" t="s">
        <v>29</v>
      </c>
      <c r="B49" s="6" t="s">
        <v>9</v>
      </c>
      <c r="C49" s="7">
        <v>5</v>
      </c>
      <c r="D49" s="7">
        <v>1</v>
      </c>
      <c r="E49" s="7">
        <v>1</v>
      </c>
      <c r="F49" s="7">
        <v>7</v>
      </c>
      <c r="G49" s="7">
        <v>5</v>
      </c>
      <c r="H49" s="7">
        <v>0</v>
      </c>
      <c r="I49" s="7">
        <v>0</v>
      </c>
      <c r="J49" s="7">
        <v>0</v>
      </c>
      <c r="K49" s="7">
        <v>5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2</v>
      </c>
      <c r="W49" s="7">
        <v>0</v>
      </c>
      <c r="X49" s="7">
        <v>0</v>
      </c>
      <c r="Y49" s="7">
        <v>0</v>
      </c>
      <c r="Z49" s="7">
        <v>0</v>
      </c>
      <c r="AA49" s="7">
        <v>2</v>
      </c>
      <c r="AB49" s="7">
        <v>0</v>
      </c>
      <c r="AC49" s="7">
        <v>0</v>
      </c>
      <c r="AD49" s="7">
        <v>0</v>
      </c>
      <c r="AE49" s="8"/>
      <c r="AF49" s="6"/>
      <c r="AG49" s="6" t="s">
        <v>68</v>
      </c>
      <c r="AH49" s="16">
        <f t="shared" si="0"/>
        <v>1</v>
      </c>
      <c r="AI49" s="16">
        <f t="shared" si="1"/>
        <v>2</v>
      </c>
    </row>
    <row r="50" spans="1:35" ht="12.3">
      <c r="A50" s="6" t="s">
        <v>30</v>
      </c>
      <c r="B50" s="6" t="s">
        <v>8</v>
      </c>
      <c r="C50" s="7">
        <v>4</v>
      </c>
      <c r="D50" s="7">
        <v>1</v>
      </c>
      <c r="E50" s="7">
        <v>0</v>
      </c>
      <c r="F50" s="7">
        <v>1</v>
      </c>
      <c r="G50" s="7">
        <v>1</v>
      </c>
      <c r="H50" s="7">
        <v>0</v>
      </c>
      <c r="I50" s="7">
        <v>0</v>
      </c>
      <c r="J50" s="7">
        <v>0</v>
      </c>
      <c r="K50" s="7">
        <v>1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8"/>
      <c r="AF50" s="6"/>
      <c r="AG50" s="6" t="s">
        <v>69</v>
      </c>
      <c r="AH50" s="16">
        <f t="shared" si="0"/>
        <v>1</v>
      </c>
      <c r="AI50" s="16">
        <f t="shared" si="1"/>
        <v>2</v>
      </c>
    </row>
    <row r="51" spans="1:35" ht="12.3">
      <c r="A51" s="6" t="s">
        <v>30</v>
      </c>
      <c r="B51" s="6" t="s">
        <v>9</v>
      </c>
      <c r="C51" s="7">
        <v>4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8"/>
      <c r="AF51" s="6"/>
      <c r="AG51" s="6" t="s">
        <v>71</v>
      </c>
      <c r="AH51" s="16">
        <f t="shared" si="0"/>
        <v>1</v>
      </c>
      <c r="AI51" s="16">
        <f t="shared" si="1"/>
        <v>2</v>
      </c>
    </row>
    <row r="52" spans="1:35" ht="12.3">
      <c r="A52" s="6" t="s">
        <v>31</v>
      </c>
      <c r="B52" s="6" t="s">
        <v>8</v>
      </c>
      <c r="C52" s="7">
        <v>2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8"/>
      <c r="AF52" s="6"/>
      <c r="AG52" s="6" t="s">
        <v>73</v>
      </c>
      <c r="AH52" s="16">
        <f t="shared" si="0"/>
        <v>2</v>
      </c>
      <c r="AI52" s="16">
        <f t="shared" si="1"/>
        <v>4</v>
      </c>
    </row>
    <row r="53" spans="1:35" ht="12.3">
      <c r="A53" s="6" t="s">
        <v>32</v>
      </c>
      <c r="B53" s="6" t="s">
        <v>8</v>
      </c>
      <c r="C53" s="7">
        <v>22</v>
      </c>
      <c r="D53" s="7">
        <v>1</v>
      </c>
      <c r="E53" s="7">
        <v>10</v>
      </c>
      <c r="F53" s="7">
        <v>25</v>
      </c>
      <c r="G53" s="7">
        <v>1</v>
      </c>
      <c r="H53" s="7">
        <v>0</v>
      </c>
      <c r="I53" s="7">
        <v>0</v>
      </c>
      <c r="J53" s="7">
        <v>0</v>
      </c>
      <c r="K53" s="7">
        <v>1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24</v>
      </c>
      <c r="W53" s="7">
        <v>0</v>
      </c>
      <c r="X53" s="7">
        <v>0</v>
      </c>
      <c r="Y53" s="7">
        <v>0</v>
      </c>
      <c r="Z53" s="7">
        <v>24</v>
      </c>
      <c r="AA53" s="7">
        <v>0</v>
      </c>
      <c r="AB53" s="7">
        <v>0</v>
      </c>
      <c r="AC53" s="7">
        <v>0</v>
      </c>
      <c r="AD53" s="7">
        <v>0</v>
      </c>
      <c r="AE53" s="8"/>
      <c r="AF53" s="6"/>
      <c r="AG53" s="6" t="s">
        <v>75</v>
      </c>
      <c r="AH53" s="16">
        <f t="shared" si="0"/>
        <v>1</v>
      </c>
      <c r="AI53" s="16">
        <f t="shared" si="1"/>
        <v>2</v>
      </c>
    </row>
    <row r="54" spans="1:35" ht="12.3">
      <c r="A54" s="6" t="s">
        <v>32</v>
      </c>
      <c r="B54" s="6" t="s">
        <v>9</v>
      </c>
      <c r="C54" s="7">
        <v>22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8"/>
      <c r="AF54" s="6"/>
      <c r="AG54" s="6" t="s">
        <v>77</v>
      </c>
      <c r="AH54" s="16">
        <f t="shared" si="0"/>
        <v>1</v>
      </c>
      <c r="AI54" s="16">
        <f t="shared" si="1"/>
        <v>2</v>
      </c>
    </row>
    <row r="55" spans="1:35" ht="12.3">
      <c r="A55" s="6" t="s">
        <v>33</v>
      </c>
      <c r="B55" s="6" t="s">
        <v>8</v>
      </c>
      <c r="C55" s="7">
        <v>2</v>
      </c>
      <c r="D55" s="7">
        <v>0</v>
      </c>
      <c r="E55" s="7">
        <v>1</v>
      </c>
      <c r="F55" s="7">
        <v>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1</v>
      </c>
      <c r="W55" s="7">
        <v>0</v>
      </c>
      <c r="X55" s="7">
        <v>0</v>
      </c>
      <c r="Y55" s="7">
        <v>0</v>
      </c>
      <c r="Z55" s="7">
        <v>1</v>
      </c>
      <c r="AA55" s="7">
        <v>0</v>
      </c>
      <c r="AB55" s="7">
        <v>0</v>
      </c>
      <c r="AC55" s="7">
        <v>0</v>
      </c>
      <c r="AD55" s="7">
        <v>0</v>
      </c>
      <c r="AE55" s="8"/>
      <c r="AF55" s="6"/>
      <c r="AG55" s="6" t="s">
        <v>78</v>
      </c>
      <c r="AH55" s="16">
        <f t="shared" si="0"/>
        <v>2</v>
      </c>
      <c r="AI55" s="16">
        <f t="shared" si="1"/>
        <v>4</v>
      </c>
    </row>
    <row r="56" spans="1:35" ht="12.3">
      <c r="A56" s="6" t="s">
        <v>33</v>
      </c>
      <c r="B56" s="6" t="s">
        <v>9</v>
      </c>
      <c r="C56" s="7">
        <v>2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8"/>
      <c r="AF56" s="6"/>
      <c r="AG56" s="6" t="s">
        <v>81</v>
      </c>
      <c r="AH56" s="16">
        <f t="shared" si="0"/>
        <v>3</v>
      </c>
      <c r="AI56" s="16">
        <f t="shared" si="1"/>
        <v>6</v>
      </c>
    </row>
    <row r="57" spans="1:35" ht="12.3">
      <c r="A57" s="6" t="s">
        <v>34</v>
      </c>
      <c r="B57" s="6" t="s">
        <v>8</v>
      </c>
      <c r="C57" s="7">
        <v>4</v>
      </c>
      <c r="D57" s="7">
        <v>0</v>
      </c>
      <c r="E57" s="7">
        <v>1</v>
      </c>
      <c r="F57" s="7">
        <v>1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1</v>
      </c>
      <c r="W57" s="7">
        <v>0</v>
      </c>
      <c r="X57" s="7">
        <v>0</v>
      </c>
      <c r="Y57" s="7">
        <v>0</v>
      </c>
      <c r="Z57" s="7">
        <v>1</v>
      </c>
      <c r="AA57" s="7">
        <v>0</v>
      </c>
      <c r="AB57" s="7">
        <v>0</v>
      </c>
      <c r="AC57" s="7">
        <v>0</v>
      </c>
      <c r="AD57" s="7">
        <v>0</v>
      </c>
      <c r="AE57" s="8"/>
      <c r="AF57" s="6"/>
      <c r="AG57" s="6" t="s">
        <v>85</v>
      </c>
      <c r="AH57" s="16">
        <f t="shared" si="0"/>
        <v>1</v>
      </c>
      <c r="AI57" s="16">
        <f t="shared" si="1"/>
        <v>2</v>
      </c>
    </row>
    <row r="58" spans="1:35" ht="12.3">
      <c r="A58" s="6" t="s">
        <v>35</v>
      </c>
      <c r="B58" s="6" t="s">
        <v>8</v>
      </c>
      <c r="C58" s="7">
        <v>4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8"/>
      <c r="AF58" s="6"/>
      <c r="AG58" s="6" t="s">
        <v>87</v>
      </c>
      <c r="AH58" s="16">
        <f t="shared" si="0"/>
        <v>1</v>
      </c>
      <c r="AI58" s="16">
        <f t="shared" si="1"/>
        <v>2</v>
      </c>
    </row>
    <row r="59" spans="1:35" ht="12.3">
      <c r="A59" s="6" t="s">
        <v>35</v>
      </c>
      <c r="B59" s="6" t="s">
        <v>9</v>
      </c>
      <c r="C59" s="7">
        <v>4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  <c r="AD59" s="7">
        <v>0</v>
      </c>
      <c r="AE59" s="8"/>
      <c r="AF59" s="6"/>
      <c r="AG59" s="6" t="s">
        <v>89</v>
      </c>
      <c r="AH59" s="16">
        <f t="shared" si="0"/>
        <v>3</v>
      </c>
      <c r="AI59" s="16">
        <f t="shared" si="1"/>
        <v>6</v>
      </c>
    </row>
    <row r="60" spans="1:35" ht="12.3">
      <c r="A60" s="6" t="s">
        <v>36</v>
      </c>
      <c r="B60" s="6" t="s">
        <v>8</v>
      </c>
      <c r="C60" s="7">
        <v>2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  <c r="AD60" s="7">
        <v>0</v>
      </c>
      <c r="AE60" s="8"/>
      <c r="AF60" s="6"/>
      <c r="AG60" s="6" t="s">
        <v>93</v>
      </c>
      <c r="AH60" s="16">
        <f t="shared" si="0"/>
        <v>1</v>
      </c>
      <c r="AI60" s="16">
        <f t="shared" si="1"/>
        <v>2</v>
      </c>
    </row>
    <row r="61" spans="1:35" ht="12.3">
      <c r="A61" s="6" t="s">
        <v>36</v>
      </c>
      <c r="B61" s="6" t="s">
        <v>9</v>
      </c>
      <c r="C61" s="7">
        <v>2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>
        <v>0</v>
      </c>
      <c r="AE61" s="8"/>
      <c r="AF61" s="6"/>
      <c r="AG61" s="6" t="s">
        <v>95</v>
      </c>
      <c r="AH61" s="16">
        <f t="shared" si="0"/>
        <v>4</v>
      </c>
      <c r="AI61" s="16">
        <f t="shared" si="1"/>
        <v>8</v>
      </c>
    </row>
    <row r="62" spans="1:35" ht="12.3">
      <c r="A62" s="6" t="s">
        <v>37</v>
      </c>
      <c r="B62" s="6" t="s">
        <v>16</v>
      </c>
      <c r="C62" s="7">
        <v>9</v>
      </c>
      <c r="D62" s="7">
        <v>9</v>
      </c>
      <c r="E62" s="7">
        <v>8</v>
      </c>
      <c r="F62" s="7">
        <v>48</v>
      </c>
      <c r="G62" s="7">
        <v>40</v>
      </c>
      <c r="H62" s="7">
        <v>0</v>
      </c>
      <c r="I62" s="7">
        <v>0</v>
      </c>
      <c r="J62" s="7">
        <v>0</v>
      </c>
      <c r="K62" s="7">
        <v>31</v>
      </c>
      <c r="L62" s="7">
        <v>0</v>
      </c>
      <c r="M62" s="7">
        <v>1</v>
      </c>
      <c r="N62" s="7">
        <v>7</v>
      </c>
      <c r="O62" s="7">
        <v>0</v>
      </c>
      <c r="P62" s="7">
        <v>0</v>
      </c>
      <c r="Q62" s="7">
        <v>0</v>
      </c>
      <c r="R62" s="7">
        <v>1</v>
      </c>
      <c r="S62" s="7">
        <v>0</v>
      </c>
      <c r="T62" s="7">
        <v>0</v>
      </c>
      <c r="U62" s="7">
        <v>0</v>
      </c>
      <c r="V62" s="7">
        <v>8</v>
      </c>
      <c r="W62" s="7">
        <v>0</v>
      </c>
      <c r="X62" s="7">
        <v>0</v>
      </c>
      <c r="Y62" s="7">
        <v>0</v>
      </c>
      <c r="Z62" s="7">
        <v>0</v>
      </c>
      <c r="AA62" s="7">
        <v>8</v>
      </c>
      <c r="AB62" s="7">
        <v>0</v>
      </c>
      <c r="AC62" s="7">
        <v>0</v>
      </c>
      <c r="AD62" s="7">
        <v>0</v>
      </c>
      <c r="AE62" s="8"/>
      <c r="AF62" s="6"/>
      <c r="AG62" s="6" t="s">
        <v>100</v>
      </c>
      <c r="AH62" s="16">
        <f t="shared" si="0"/>
        <v>3</v>
      </c>
      <c r="AI62" s="16">
        <f t="shared" si="1"/>
        <v>6</v>
      </c>
    </row>
    <row r="63" spans="1:35" ht="12.3">
      <c r="A63" s="6" t="s">
        <v>37</v>
      </c>
      <c r="B63" s="6" t="s">
        <v>17</v>
      </c>
      <c r="C63" s="7">
        <v>16</v>
      </c>
      <c r="D63" s="7">
        <v>16</v>
      </c>
      <c r="E63" s="7">
        <v>0</v>
      </c>
      <c r="F63" s="7">
        <v>92</v>
      </c>
      <c r="G63" s="7">
        <v>92</v>
      </c>
      <c r="H63" s="7">
        <v>0</v>
      </c>
      <c r="I63" s="7">
        <v>0</v>
      </c>
      <c r="J63" s="7">
        <v>0</v>
      </c>
      <c r="K63" s="7">
        <v>54</v>
      </c>
      <c r="L63" s="7">
        <v>0</v>
      </c>
      <c r="M63" s="7">
        <v>8</v>
      </c>
      <c r="N63" s="7">
        <v>30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8"/>
      <c r="AF63" s="6"/>
      <c r="AG63" s="6" t="s">
        <v>104</v>
      </c>
      <c r="AH63" s="16">
        <f t="shared" si="0"/>
        <v>1</v>
      </c>
      <c r="AI63" s="16">
        <f t="shared" si="1"/>
        <v>2</v>
      </c>
    </row>
    <row r="64" spans="1:35" ht="12.3">
      <c r="A64" s="6" t="s">
        <v>37</v>
      </c>
      <c r="B64" s="6" t="s">
        <v>19</v>
      </c>
      <c r="C64" s="7">
        <v>16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8"/>
      <c r="AF64" s="6"/>
      <c r="AG64" s="6" t="s">
        <v>106</v>
      </c>
      <c r="AH64" s="16">
        <f t="shared" si="0"/>
        <v>2</v>
      </c>
      <c r="AI64" s="16">
        <f t="shared" si="1"/>
        <v>4</v>
      </c>
    </row>
    <row r="65" spans="1:35" ht="12.3">
      <c r="A65" s="6" t="s">
        <v>37</v>
      </c>
      <c r="B65" s="6" t="s">
        <v>8</v>
      </c>
      <c r="C65" s="7">
        <v>16</v>
      </c>
      <c r="D65" s="7">
        <v>6</v>
      </c>
      <c r="E65" s="7">
        <v>2</v>
      </c>
      <c r="F65" s="7">
        <v>8</v>
      </c>
      <c r="G65" s="7">
        <v>6</v>
      </c>
      <c r="H65" s="7">
        <v>0</v>
      </c>
      <c r="I65" s="7">
        <v>0</v>
      </c>
      <c r="J65" s="7">
        <v>0</v>
      </c>
      <c r="K65" s="7">
        <v>6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2</v>
      </c>
      <c r="W65" s="7">
        <v>0</v>
      </c>
      <c r="X65" s="7">
        <v>0</v>
      </c>
      <c r="Y65" s="7">
        <v>0</v>
      </c>
      <c r="Z65" s="7">
        <v>2</v>
      </c>
      <c r="AA65" s="7">
        <v>0</v>
      </c>
      <c r="AB65" s="7">
        <v>0</v>
      </c>
      <c r="AC65" s="7">
        <v>0</v>
      </c>
      <c r="AD65" s="7">
        <v>0</v>
      </c>
      <c r="AE65" s="8"/>
      <c r="AF65" s="6"/>
      <c r="AG65" s="6" t="s">
        <v>109</v>
      </c>
      <c r="AH65" s="16">
        <f t="shared" si="0"/>
        <v>5</v>
      </c>
      <c r="AI65" s="16">
        <f t="shared" si="1"/>
        <v>10</v>
      </c>
    </row>
    <row r="66" spans="1:35" ht="12.3">
      <c r="A66" s="6" t="s">
        <v>37</v>
      </c>
      <c r="B66" s="6" t="s">
        <v>9</v>
      </c>
      <c r="C66" s="7">
        <v>16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0</v>
      </c>
      <c r="AE66" s="8"/>
      <c r="AF66" s="6"/>
      <c r="AG66" s="6" t="s">
        <v>115</v>
      </c>
      <c r="AH66" s="16">
        <f t="shared" si="0"/>
        <v>5</v>
      </c>
      <c r="AI66" s="16">
        <f t="shared" si="1"/>
        <v>10</v>
      </c>
    </row>
    <row r="67" spans="1:35" ht="12.3">
      <c r="A67" s="6" t="s">
        <v>38</v>
      </c>
      <c r="B67" s="6" t="s">
        <v>8</v>
      </c>
      <c r="C67" s="7">
        <v>8</v>
      </c>
      <c r="D67" s="7">
        <v>1</v>
      </c>
      <c r="E67" s="7">
        <v>1</v>
      </c>
      <c r="F67" s="7">
        <v>3</v>
      </c>
      <c r="G67" s="7">
        <v>2</v>
      </c>
      <c r="H67" s="7">
        <v>0</v>
      </c>
      <c r="I67" s="7">
        <v>0</v>
      </c>
      <c r="J67" s="7">
        <v>0</v>
      </c>
      <c r="K67" s="7">
        <v>2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1</v>
      </c>
      <c r="W67" s="7">
        <v>0</v>
      </c>
      <c r="X67" s="7">
        <v>0</v>
      </c>
      <c r="Y67" s="7">
        <v>0</v>
      </c>
      <c r="Z67" s="7">
        <v>1</v>
      </c>
      <c r="AA67" s="7">
        <v>0</v>
      </c>
      <c r="AB67" s="7">
        <v>0</v>
      </c>
      <c r="AC67" s="7">
        <v>0</v>
      </c>
      <c r="AD67" s="7">
        <v>0</v>
      </c>
      <c r="AE67" s="8"/>
      <c r="AF67" s="6"/>
      <c r="AG67" s="6" t="s">
        <v>119</v>
      </c>
      <c r="AH67" s="16">
        <f t="shared" ref="AH67:AH130" si="2">COUNTIF($A$3:$A$786,AG67)</f>
        <v>1</v>
      </c>
      <c r="AI67" s="16">
        <f t="shared" ref="AI67:AI130" si="3">AH67*2</f>
        <v>2</v>
      </c>
    </row>
    <row r="68" spans="1:35" ht="12.3">
      <c r="A68" s="6" t="s">
        <v>38</v>
      </c>
      <c r="B68" s="6" t="s">
        <v>9</v>
      </c>
      <c r="C68" s="7">
        <v>9</v>
      </c>
      <c r="D68" s="7">
        <v>3</v>
      </c>
      <c r="E68" s="7">
        <v>1</v>
      </c>
      <c r="F68" s="7">
        <v>10</v>
      </c>
      <c r="G68" s="7">
        <v>8</v>
      </c>
      <c r="H68" s="7">
        <v>0</v>
      </c>
      <c r="I68" s="7">
        <v>0</v>
      </c>
      <c r="J68" s="7">
        <v>0</v>
      </c>
      <c r="K68" s="7">
        <v>5</v>
      </c>
      <c r="L68" s="7">
        <v>0</v>
      </c>
      <c r="M68" s="7">
        <v>1</v>
      </c>
      <c r="N68" s="7">
        <v>2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2</v>
      </c>
      <c r="W68" s="7">
        <v>0</v>
      </c>
      <c r="X68" s="7">
        <v>0</v>
      </c>
      <c r="Y68" s="7">
        <v>0</v>
      </c>
      <c r="Z68" s="7">
        <v>0</v>
      </c>
      <c r="AA68" s="7">
        <v>2</v>
      </c>
      <c r="AB68" s="7">
        <v>0</v>
      </c>
      <c r="AC68" s="7">
        <v>0</v>
      </c>
      <c r="AD68" s="7">
        <v>0</v>
      </c>
      <c r="AE68" s="8"/>
      <c r="AF68" s="6"/>
      <c r="AG68" s="6" t="s">
        <v>121</v>
      </c>
      <c r="AH68" s="16">
        <f t="shared" si="2"/>
        <v>1</v>
      </c>
      <c r="AI68" s="16">
        <f t="shared" si="3"/>
        <v>2</v>
      </c>
    </row>
    <row r="69" spans="1:35" ht="12.3">
      <c r="A69" s="6" t="s">
        <v>39</v>
      </c>
      <c r="B69" s="6" t="s">
        <v>17</v>
      </c>
      <c r="C69" s="7">
        <v>2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8"/>
      <c r="AF69" s="6"/>
      <c r="AG69" s="6" t="s">
        <v>123</v>
      </c>
      <c r="AH69" s="16">
        <f t="shared" si="2"/>
        <v>3</v>
      </c>
      <c r="AI69" s="16">
        <f t="shared" si="3"/>
        <v>6</v>
      </c>
    </row>
    <row r="70" spans="1:35" ht="12.3">
      <c r="A70" s="6" t="s">
        <v>39</v>
      </c>
      <c r="B70" s="6" t="s">
        <v>19</v>
      </c>
      <c r="C70" s="7">
        <v>2</v>
      </c>
      <c r="D70" s="7">
        <v>0</v>
      </c>
      <c r="E70" s="7">
        <v>1</v>
      </c>
      <c r="F70" s="7">
        <v>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2</v>
      </c>
      <c r="W70" s="7">
        <v>0</v>
      </c>
      <c r="X70" s="7">
        <v>0</v>
      </c>
      <c r="Y70" s="7">
        <v>0</v>
      </c>
      <c r="Z70" s="7">
        <v>1</v>
      </c>
      <c r="AA70" s="7">
        <v>1</v>
      </c>
      <c r="AB70" s="7">
        <v>0</v>
      </c>
      <c r="AC70" s="7">
        <v>0</v>
      </c>
      <c r="AD70" s="7">
        <v>0</v>
      </c>
      <c r="AE70" s="8"/>
      <c r="AF70" s="6"/>
      <c r="AG70" s="6" t="s">
        <v>126</v>
      </c>
      <c r="AH70" s="16">
        <f t="shared" si="2"/>
        <v>1</v>
      </c>
      <c r="AI70" s="16">
        <f t="shared" si="3"/>
        <v>2</v>
      </c>
    </row>
    <row r="71" spans="1:35" ht="12.3">
      <c r="A71" s="6" t="s">
        <v>39</v>
      </c>
      <c r="B71" s="6" t="s">
        <v>8</v>
      </c>
      <c r="C71" s="7">
        <v>2</v>
      </c>
      <c r="D71" s="7">
        <v>0</v>
      </c>
      <c r="E71" s="7">
        <v>1</v>
      </c>
      <c r="F71" s="7">
        <v>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1</v>
      </c>
      <c r="W71" s="7">
        <v>0</v>
      </c>
      <c r="X71" s="7">
        <v>0</v>
      </c>
      <c r="Y71" s="7">
        <v>0</v>
      </c>
      <c r="Z71" s="7">
        <v>1</v>
      </c>
      <c r="AA71" s="7">
        <v>0</v>
      </c>
      <c r="AB71" s="7">
        <v>0</v>
      </c>
      <c r="AC71" s="7">
        <v>0</v>
      </c>
      <c r="AD71" s="7">
        <v>0</v>
      </c>
      <c r="AE71" s="8"/>
      <c r="AF71" s="6"/>
      <c r="AG71" s="6" t="s">
        <v>128</v>
      </c>
      <c r="AH71" s="16">
        <f t="shared" si="2"/>
        <v>3</v>
      </c>
      <c r="AI71" s="16">
        <f t="shared" si="3"/>
        <v>6</v>
      </c>
    </row>
    <row r="72" spans="1:35" ht="12.3">
      <c r="A72" s="6" t="s">
        <v>39</v>
      </c>
      <c r="B72" s="6" t="s">
        <v>9</v>
      </c>
      <c r="C72" s="7">
        <v>2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8"/>
      <c r="AF72" s="6"/>
      <c r="AG72" s="6" t="s">
        <v>130</v>
      </c>
      <c r="AH72" s="16">
        <f t="shared" si="2"/>
        <v>3</v>
      </c>
      <c r="AI72" s="16">
        <f t="shared" si="3"/>
        <v>6</v>
      </c>
    </row>
    <row r="73" spans="1:35" ht="12.3">
      <c r="A73" s="6" t="s">
        <v>40</v>
      </c>
      <c r="B73" s="6" t="s">
        <v>17</v>
      </c>
      <c r="C73" s="7">
        <v>22</v>
      </c>
      <c r="D73" s="7">
        <v>0</v>
      </c>
      <c r="E73" s="7">
        <v>10</v>
      </c>
      <c r="F73" s="7">
        <v>45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v>45</v>
      </c>
      <c r="W73" s="7">
        <v>0</v>
      </c>
      <c r="X73" s="7">
        <v>0</v>
      </c>
      <c r="Y73" s="7">
        <v>0</v>
      </c>
      <c r="Z73" s="7">
        <v>45</v>
      </c>
      <c r="AA73" s="7">
        <v>0</v>
      </c>
      <c r="AB73" s="7">
        <v>0</v>
      </c>
      <c r="AC73" s="7">
        <v>0</v>
      </c>
      <c r="AD73" s="7">
        <v>0</v>
      </c>
      <c r="AE73" s="7"/>
      <c r="AF73" s="6"/>
      <c r="AG73" s="6" t="s">
        <v>134</v>
      </c>
      <c r="AH73" s="16">
        <f t="shared" si="2"/>
        <v>3</v>
      </c>
      <c r="AI73" s="16">
        <f t="shared" si="3"/>
        <v>6</v>
      </c>
    </row>
    <row r="74" spans="1:35" ht="12.3">
      <c r="A74" s="6" t="s">
        <v>40</v>
      </c>
      <c r="B74" s="6" t="s">
        <v>8</v>
      </c>
      <c r="C74" s="7">
        <v>4</v>
      </c>
      <c r="D74" s="7">
        <v>0</v>
      </c>
      <c r="E74" s="7">
        <v>1</v>
      </c>
      <c r="F74" s="7">
        <v>1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1</v>
      </c>
      <c r="W74" s="7">
        <v>0</v>
      </c>
      <c r="X74" s="7">
        <v>0</v>
      </c>
      <c r="Y74" s="7">
        <v>0</v>
      </c>
      <c r="Z74" s="7">
        <v>1</v>
      </c>
      <c r="AA74" s="7">
        <v>0</v>
      </c>
      <c r="AB74" s="7">
        <v>0</v>
      </c>
      <c r="AC74" s="7">
        <v>0</v>
      </c>
      <c r="AD74" s="7">
        <v>0</v>
      </c>
      <c r="AE74" s="7"/>
      <c r="AF74" s="6"/>
      <c r="AG74" s="6" t="s">
        <v>138</v>
      </c>
      <c r="AH74" s="16">
        <f t="shared" si="2"/>
        <v>2</v>
      </c>
      <c r="AI74" s="16">
        <f t="shared" si="3"/>
        <v>4</v>
      </c>
    </row>
    <row r="75" spans="1:35" ht="12.3">
      <c r="A75" s="6" t="s">
        <v>40</v>
      </c>
      <c r="B75" s="6" t="s">
        <v>9</v>
      </c>
      <c r="C75" s="7">
        <v>4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/>
      <c r="AF75" s="6"/>
      <c r="AG75" s="6" t="s">
        <v>141</v>
      </c>
      <c r="AH75" s="16">
        <f t="shared" si="2"/>
        <v>3</v>
      </c>
      <c r="AI75" s="16">
        <f t="shared" si="3"/>
        <v>6</v>
      </c>
    </row>
    <row r="76" spans="1:35" ht="12.3">
      <c r="A76" s="6" t="s">
        <v>41</v>
      </c>
      <c r="B76" s="6" t="s">
        <v>16</v>
      </c>
      <c r="C76" s="7">
        <v>21</v>
      </c>
      <c r="D76" s="7">
        <v>11</v>
      </c>
      <c r="E76" s="7">
        <v>4</v>
      </c>
      <c r="F76" s="7">
        <v>79</v>
      </c>
      <c r="G76" s="7">
        <v>73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4</v>
      </c>
      <c r="N76" s="7">
        <v>60</v>
      </c>
      <c r="O76" s="7">
        <v>0</v>
      </c>
      <c r="P76" s="7">
        <v>0</v>
      </c>
      <c r="Q76" s="7">
        <v>0</v>
      </c>
      <c r="R76" s="7">
        <v>9</v>
      </c>
      <c r="S76" s="7">
        <v>0</v>
      </c>
      <c r="T76" s="7">
        <v>0</v>
      </c>
      <c r="U76" s="7">
        <v>0</v>
      </c>
      <c r="V76" s="7">
        <v>6</v>
      </c>
      <c r="W76" s="7">
        <v>0</v>
      </c>
      <c r="X76" s="7">
        <v>0</v>
      </c>
      <c r="Y76" s="7">
        <v>0</v>
      </c>
      <c r="Z76" s="7">
        <v>0</v>
      </c>
      <c r="AA76" s="7">
        <v>6</v>
      </c>
      <c r="AB76" s="7">
        <v>0</v>
      </c>
      <c r="AC76" s="7">
        <v>0</v>
      </c>
      <c r="AD76" s="7">
        <v>0</v>
      </c>
      <c r="AE76" s="7"/>
      <c r="AF76" s="6"/>
      <c r="AG76" s="6" t="s">
        <v>142</v>
      </c>
      <c r="AH76" s="16">
        <f t="shared" si="2"/>
        <v>1</v>
      </c>
      <c r="AI76" s="16">
        <f t="shared" si="3"/>
        <v>2</v>
      </c>
    </row>
    <row r="77" spans="1:35" ht="12.3">
      <c r="A77" s="6" t="s">
        <v>41</v>
      </c>
      <c r="B77" s="6" t="s">
        <v>8</v>
      </c>
      <c r="C77" s="7">
        <v>20</v>
      </c>
      <c r="D77" s="7">
        <v>0</v>
      </c>
      <c r="E77" s="7">
        <v>3</v>
      </c>
      <c r="F77" s="7">
        <v>3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3</v>
      </c>
      <c r="W77" s="7">
        <v>0</v>
      </c>
      <c r="X77" s="7">
        <v>0</v>
      </c>
      <c r="Y77" s="7">
        <v>0</v>
      </c>
      <c r="Z77" s="7">
        <v>3</v>
      </c>
      <c r="AA77" s="7">
        <v>0</v>
      </c>
      <c r="AB77" s="7">
        <v>0</v>
      </c>
      <c r="AC77" s="7">
        <v>0</v>
      </c>
      <c r="AD77" s="7">
        <v>0</v>
      </c>
      <c r="AE77" s="7"/>
      <c r="AF77" s="6"/>
      <c r="AG77" s="6" t="s">
        <v>143</v>
      </c>
      <c r="AH77" s="16">
        <f t="shared" si="2"/>
        <v>5</v>
      </c>
      <c r="AI77" s="16">
        <f t="shared" si="3"/>
        <v>10</v>
      </c>
    </row>
    <row r="78" spans="1:35" ht="12.3">
      <c r="A78" s="6" t="s">
        <v>41</v>
      </c>
      <c r="B78" s="6" t="s">
        <v>9</v>
      </c>
      <c r="C78" s="7">
        <v>22</v>
      </c>
      <c r="D78" s="7">
        <v>5</v>
      </c>
      <c r="E78" s="7">
        <v>4</v>
      </c>
      <c r="F78" s="7">
        <v>19</v>
      </c>
      <c r="G78" s="7">
        <v>13</v>
      </c>
      <c r="H78" s="7">
        <v>0</v>
      </c>
      <c r="I78" s="7">
        <v>0</v>
      </c>
      <c r="J78" s="7">
        <v>0</v>
      </c>
      <c r="K78" s="7">
        <v>10</v>
      </c>
      <c r="L78" s="7">
        <v>0</v>
      </c>
      <c r="M78" s="7">
        <v>2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6</v>
      </c>
      <c r="W78" s="7">
        <v>0</v>
      </c>
      <c r="X78" s="7">
        <v>0</v>
      </c>
      <c r="Y78" s="7">
        <v>0</v>
      </c>
      <c r="Z78" s="7">
        <v>2</v>
      </c>
      <c r="AA78" s="7">
        <v>4</v>
      </c>
      <c r="AB78" s="7">
        <v>0</v>
      </c>
      <c r="AC78" s="7">
        <v>0</v>
      </c>
      <c r="AD78" s="7">
        <v>0</v>
      </c>
      <c r="AE78" s="7"/>
      <c r="AF78" s="6"/>
      <c r="AG78" s="6" t="s">
        <v>149</v>
      </c>
      <c r="AH78" s="16">
        <f t="shared" si="2"/>
        <v>2</v>
      </c>
      <c r="AI78" s="16">
        <f t="shared" si="3"/>
        <v>4</v>
      </c>
    </row>
    <row r="79" spans="1:35" ht="12.3">
      <c r="A79" s="6" t="s">
        <v>42</v>
      </c>
      <c r="B79" s="6" t="s">
        <v>8</v>
      </c>
      <c r="C79" s="7">
        <v>16</v>
      </c>
      <c r="D79" s="7">
        <v>2</v>
      </c>
      <c r="E79" s="7">
        <v>6</v>
      </c>
      <c r="F79" s="7">
        <v>11</v>
      </c>
      <c r="G79" s="7">
        <v>3</v>
      </c>
      <c r="H79" s="7">
        <v>0</v>
      </c>
      <c r="I79" s="7">
        <v>0</v>
      </c>
      <c r="J79" s="7">
        <v>0</v>
      </c>
      <c r="K79" s="7">
        <v>3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8</v>
      </c>
      <c r="W79" s="7">
        <v>0</v>
      </c>
      <c r="X79" s="7">
        <v>0</v>
      </c>
      <c r="Y79" s="7">
        <v>0</v>
      </c>
      <c r="Z79" s="7">
        <v>8</v>
      </c>
      <c r="AA79" s="7">
        <v>0</v>
      </c>
      <c r="AB79" s="7">
        <v>0</v>
      </c>
      <c r="AC79" s="7">
        <v>0</v>
      </c>
      <c r="AD79" s="7">
        <v>0</v>
      </c>
      <c r="AE79" s="7"/>
      <c r="AF79" s="6"/>
      <c r="AG79" s="6" t="s">
        <v>151</v>
      </c>
      <c r="AH79" s="16">
        <f t="shared" si="2"/>
        <v>1</v>
      </c>
      <c r="AI79" s="16">
        <f t="shared" si="3"/>
        <v>2</v>
      </c>
    </row>
    <row r="80" spans="1:35" ht="12.3">
      <c r="A80" s="6" t="s">
        <v>42</v>
      </c>
      <c r="B80" s="6" t="s">
        <v>9</v>
      </c>
      <c r="C80" s="7">
        <v>16</v>
      </c>
      <c r="D80" s="7">
        <v>2</v>
      </c>
      <c r="E80" s="7">
        <v>0</v>
      </c>
      <c r="F80" s="7">
        <v>3</v>
      </c>
      <c r="G80" s="7">
        <v>3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3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/>
      <c r="AF80" s="6"/>
      <c r="AG80" s="6" t="s">
        <v>153</v>
      </c>
      <c r="AH80" s="16">
        <f t="shared" si="2"/>
        <v>1</v>
      </c>
      <c r="AI80" s="16">
        <f t="shared" si="3"/>
        <v>2</v>
      </c>
    </row>
    <row r="81" spans="1:35" ht="12.3">
      <c r="A81" s="6" t="s">
        <v>43</v>
      </c>
      <c r="B81" s="6" t="s">
        <v>19</v>
      </c>
      <c r="C81" s="7">
        <v>4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/>
      <c r="AF81" s="6"/>
      <c r="AG81" s="6" t="s">
        <v>155</v>
      </c>
      <c r="AH81" s="16">
        <f t="shared" si="2"/>
        <v>1</v>
      </c>
      <c r="AI81" s="16">
        <f t="shared" si="3"/>
        <v>2</v>
      </c>
    </row>
    <row r="82" spans="1:35" ht="12.3">
      <c r="A82" s="6" t="s">
        <v>44</v>
      </c>
      <c r="B82" s="6" t="s">
        <v>45</v>
      </c>
      <c r="C82" s="7">
        <v>16</v>
      </c>
      <c r="D82" s="7">
        <v>0</v>
      </c>
      <c r="E82" s="7">
        <v>4</v>
      </c>
      <c r="F82" s="7">
        <v>5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5</v>
      </c>
      <c r="W82" s="7">
        <v>0</v>
      </c>
      <c r="X82" s="7">
        <v>0</v>
      </c>
      <c r="Y82" s="7">
        <v>0</v>
      </c>
      <c r="Z82" s="7">
        <v>5</v>
      </c>
      <c r="AA82" s="7">
        <v>0</v>
      </c>
      <c r="AB82" s="7">
        <v>0</v>
      </c>
      <c r="AC82" s="7">
        <v>0</v>
      </c>
      <c r="AD82" s="7">
        <v>0</v>
      </c>
      <c r="AE82" s="7"/>
      <c r="AF82" s="6"/>
      <c r="AG82" s="6" t="s">
        <v>157</v>
      </c>
      <c r="AH82" s="16">
        <f t="shared" si="2"/>
        <v>5</v>
      </c>
      <c r="AI82" s="16">
        <f t="shared" si="3"/>
        <v>10</v>
      </c>
    </row>
    <row r="83" spans="1:35" ht="12.3">
      <c r="A83" s="6" t="s">
        <v>44</v>
      </c>
      <c r="B83" s="6" t="s">
        <v>46</v>
      </c>
      <c r="C83" s="7">
        <v>20</v>
      </c>
      <c r="D83" s="7">
        <v>0</v>
      </c>
      <c r="E83" s="7">
        <v>8</v>
      </c>
      <c r="F83" s="7">
        <v>20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20</v>
      </c>
      <c r="W83" s="7">
        <v>0</v>
      </c>
      <c r="X83" s="7">
        <v>0</v>
      </c>
      <c r="Y83" s="7">
        <v>0</v>
      </c>
      <c r="Z83" s="7">
        <v>5</v>
      </c>
      <c r="AA83" s="7">
        <v>15</v>
      </c>
      <c r="AB83" s="7">
        <v>0</v>
      </c>
      <c r="AC83" s="7">
        <v>0</v>
      </c>
      <c r="AD83" s="7">
        <v>0</v>
      </c>
      <c r="AE83" s="7"/>
      <c r="AF83" s="6"/>
      <c r="AG83" s="6" t="s">
        <v>163</v>
      </c>
      <c r="AH83" s="16">
        <f t="shared" si="2"/>
        <v>2</v>
      </c>
      <c r="AI83" s="16">
        <f t="shared" si="3"/>
        <v>4</v>
      </c>
    </row>
    <row r="84" spans="1:35" ht="12.3">
      <c r="A84" s="6" t="s">
        <v>47</v>
      </c>
      <c r="B84" s="6" t="s">
        <v>48</v>
      </c>
      <c r="C84" s="7">
        <v>4</v>
      </c>
      <c r="D84" s="7">
        <v>2</v>
      </c>
      <c r="E84" s="7">
        <v>1</v>
      </c>
      <c r="F84" s="7">
        <v>10</v>
      </c>
      <c r="G84" s="7">
        <v>9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9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1</v>
      </c>
      <c r="W84" s="7">
        <v>0</v>
      </c>
      <c r="X84" s="7">
        <v>0</v>
      </c>
      <c r="Y84" s="7">
        <v>0</v>
      </c>
      <c r="Z84" s="7">
        <v>1</v>
      </c>
      <c r="AA84" s="7">
        <v>0</v>
      </c>
      <c r="AB84" s="7">
        <v>0</v>
      </c>
      <c r="AC84" s="7">
        <v>0</v>
      </c>
      <c r="AD84" s="7">
        <v>0</v>
      </c>
      <c r="AE84" s="7"/>
      <c r="AF84" s="6"/>
      <c r="AG84" s="6" t="s">
        <v>166</v>
      </c>
      <c r="AH84" s="16">
        <f t="shared" si="2"/>
        <v>2</v>
      </c>
      <c r="AI84" s="16">
        <f t="shared" si="3"/>
        <v>4</v>
      </c>
    </row>
    <row r="85" spans="1:35" ht="12.3">
      <c r="A85" s="6" t="s">
        <v>49</v>
      </c>
      <c r="B85" s="6" t="s">
        <v>50</v>
      </c>
      <c r="C85" s="7">
        <v>2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/>
      <c r="AF85" s="6"/>
      <c r="AG85" s="6" t="s">
        <v>169</v>
      </c>
      <c r="AH85" s="16">
        <f t="shared" si="2"/>
        <v>2</v>
      </c>
      <c r="AI85" s="16">
        <f t="shared" si="3"/>
        <v>4</v>
      </c>
    </row>
    <row r="86" spans="1:35" ht="12.3">
      <c r="A86" s="6" t="s">
        <v>51</v>
      </c>
      <c r="B86" s="6" t="s">
        <v>52</v>
      </c>
      <c r="C86" s="7">
        <v>4</v>
      </c>
      <c r="D86" s="7">
        <v>2</v>
      </c>
      <c r="E86" s="7">
        <v>0</v>
      </c>
      <c r="F86" s="7">
        <v>3</v>
      </c>
      <c r="G86" s="7">
        <v>3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3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/>
      <c r="AF86" s="6"/>
      <c r="AG86" s="6" t="s">
        <v>172</v>
      </c>
      <c r="AH86" s="16">
        <f t="shared" si="2"/>
        <v>1</v>
      </c>
      <c r="AI86" s="16">
        <f t="shared" si="3"/>
        <v>2</v>
      </c>
    </row>
    <row r="87" spans="1:35" ht="12.3">
      <c r="A87" s="6" t="s">
        <v>53</v>
      </c>
      <c r="B87" s="6" t="s">
        <v>54</v>
      </c>
      <c r="C87" s="7">
        <v>12</v>
      </c>
      <c r="D87" s="7">
        <v>0</v>
      </c>
      <c r="E87" s="7">
        <v>2</v>
      </c>
      <c r="F87" s="7">
        <v>2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2</v>
      </c>
      <c r="W87" s="7">
        <v>0</v>
      </c>
      <c r="X87" s="7">
        <v>0</v>
      </c>
      <c r="Y87" s="7">
        <v>0</v>
      </c>
      <c r="Z87" s="7">
        <v>2</v>
      </c>
      <c r="AA87" s="7">
        <v>0</v>
      </c>
      <c r="AB87" s="7">
        <v>0</v>
      </c>
      <c r="AC87" s="7">
        <v>0</v>
      </c>
      <c r="AD87" s="7">
        <v>0</v>
      </c>
      <c r="AE87" s="7"/>
      <c r="AF87" s="6"/>
      <c r="AG87" s="6" t="s">
        <v>174</v>
      </c>
      <c r="AH87" s="16">
        <f t="shared" si="2"/>
        <v>2</v>
      </c>
      <c r="AI87" s="16">
        <f t="shared" si="3"/>
        <v>4</v>
      </c>
    </row>
    <row r="88" spans="1:35" ht="12.3">
      <c r="A88" s="6" t="s">
        <v>53</v>
      </c>
      <c r="B88" s="6" t="s">
        <v>55</v>
      </c>
      <c r="C88" s="7">
        <v>12</v>
      </c>
      <c r="D88" s="7">
        <v>2</v>
      </c>
      <c r="E88" s="7">
        <v>0</v>
      </c>
      <c r="F88" s="7">
        <v>3</v>
      </c>
      <c r="G88" s="7">
        <v>3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3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/>
      <c r="AF88" s="6"/>
      <c r="AG88" s="6" t="s">
        <v>177</v>
      </c>
      <c r="AH88" s="16">
        <f t="shared" si="2"/>
        <v>1</v>
      </c>
      <c r="AI88" s="16">
        <f t="shared" si="3"/>
        <v>2</v>
      </c>
    </row>
    <row r="89" spans="1:35" ht="12.3">
      <c r="A89" s="6" t="s">
        <v>53</v>
      </c>
      <c r="B89" s="6" t="s">
        <v>56</v>
      </c>
      <c r="C89" s="7">
        <v>12</v>
      </c>
      <c r="D89" s="7">
        <v>0</v>
      </c>
      <c r="E89" s="7">
        <v>2</v>
      </c>
      <c r="F89" s="7">
        <v>2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v>2</v>
      </c>
      <c r="W89" s="7">
        <v>0</v>
      </c>
      <c r="X89" s="7">
        <v>0</v>
      </c>
      <c r="Y89" s="7">
        <v>0</v>
      </c>
      <c r="Z89" s="7">
        <v>2</v>
      </c>
      <c r="AA89" s="7">
        <v>0</v>
      </c>
      <c r="AB89" s="7">
        <v>0</v>
      </c>
      <c r="AC89" s="7">
        <v>0</v>
      </c>
      <c r="AD89" s="7">
        <v>0</v>
      </c>
      <c r="AE89" s="7"/>
      <c r="AF89" s="6"/>
      <c r="AG89" s="6" t="s">
        <v>179</v>
      </c>
      <c r="AH89" s="16">
        <f t="shared" si="2"/>
        <v>1</v>
      </c>
      <c r="AI89" s="16">
        <f t="shared" si="3"/>
        <v>2</v>
      </c>
    </row>
    <row r="90" spans="1:35" ht="12.3">
      <c r="A90" s="6" t="s">
        <v>57</v>
      </c>
      <c r="B90" s="6" t="s">
        <v>58</v>
      </c>
      <c r="C90" s="7">
        <v>8</v>
      </c>
      <c r="D90" s="7">
        <v>2</v>
      </c>
      <c r="E90" s="7">
        <v>0</v>
      </c>
      <c r="F90" s="7">
        <v>2</v>
      </c>
      <c r="G90" s="7">
        <v>2</v>
      </c>
      <c r="H90" s="7">
        <v>0</v>
      </c>
      <c r="I90" s="7">
        <v>0</v>
      </c>
      <c r="J90" s="7">
        <v>0</v>
      </c>
      <c r="K90" s="7">
        <v>1</v>
      </c>
      <c r="L90" s="7">
        <v>0</v>
      </c>
      <c r="M90" s="7">
        <v>0</v>
      </c>
      <c r="N90" s="7">
        <v>1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/>
      <c r="AF90" s="6"/>
      <c r="AG90" s="6" t="s">
        <v>180</v>
      </c>
      <c r="AH90" s="16">
        <f t="shared" si="2"/>
        <v>1</v>
      </c>
      <c r="AI90" s="16">
        <f t="shared" si="3"/>
        <v>2</v>
      </c>
    </row>
    <row r="91" spans="1:35" ht="12.3">
      <c r="A91" s="6" t="s">
        <v>59</v>
      </c>
      <c r="B91" s="6" t="s">
        <v>58</v>
      </c>
      <c r="C91" s="7">
        <v>14</v>
      </c>
      <c r="D91" s="7">
        <v>1</v>
      </c>
      <c r="E91" s="7">
        <v>2</v>
      </c>
      <c r="F91" s="7">
        <v>8</v>
      </c>
      <c r="G91" s="7">
        <v>3</v>
      </c>
      <c r="H91" s="7">
        <v>0</v>
      </c>
      <c r="I91" s="7">
        <v>0</v>
      </c>
      <c r="J91" s="7">
        <v>0</v>
      </c>
      <c r="K91" s="7">
        <v>3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5</v>
      </c>
      <c r="W91" s="7">
        <v>0</v>
      </c>
      <c r="X91" s="7">
        <v>0</v>
      </c>
      <c r="Y91" s="7">
        <v>0</v>
      </c>
      <c r="Z91" s="7">
        <v>5</v>
      </c>
      <c r="AA91" s="7">
        <v>0</v>
      </c>
      <c r="AB91" s="7">
        <v>0</v>
      </c>
      <c r="AC91" s="7">
        <v>0</v>
      </c>
      <c r="AD91" s="7">
        <v>0</v>
      </c>
      <c r="AE91" s="7"/>
      <c r="AF91" s="6"/>
      <c r="AG91" s="6" t="s">
        <v>181</v>
      </c>
      <c r="AH91" s="16">
        <f t="shared" si="2"/>
        <v>1</v>
      </c>
      <c r="AI91" s="16">
        <f t="shared" si="3"/>
        <v>2</v>
      </c>
    </row>
    <row r="92" spans="1:35" ht="12.3">
      <c r="A92" s="6" t="s">
        <v>60</v>
      </c>
      <c r="B92" s="6" t="s">
        <v>58</v>
      </c>
      <c r="C92" s="7">
        <v>4</v>
      </c>
      <c r="D92" s="7">
        <v>1</v>
      </c>
      <c r="E92" s="7">
        <v>1</v>
      </c>
      <c r="F92" s="7">
        <v>5</v>
      </c>
      <c r="G92" s="7">
        <v>3</v>
      </c>
      <c r="H92" s="7">
        <v>0</v>
      </c>
      <c r="I92" s="7">
        <v>0</v>
      </c>
      <c r="J92" s="7">
        <v>0</v>
      </c>
      <c r="K92" s="7">
        <v>3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2</v>
      </c>
      <c r="W92" s="7">
        <v>0</v>
      </c>
      <c r="X92" s="7">
        <v>0</v>
      </c>
      <c r="Y92" s="7">
        <v>0</v>
      </c>
      <c r="Z92" s="7">
        <v>1</v>
      </c>
      <c r="AA92" s="7">
        <v>1</v>
      </c>
      <c r="AB92" s="7">
        <v>0</v>
      </c>
      <c r="AC92" s="7">
        <v>0</v>
      </c>
      <c r="AD92" s="7">
        <v>0</v>
      </c>
      <c r="AE92" s="7"/>
      <c r="AF92" s="6"/>
      <c r="AG92" s="6" t="s">
        <v>182</v>
      </c>
      <c r="AH92" s="16">
        <f t="shared" si="2"/>
        <v>1</v>
      </c>
      <c r="AI92" s="16">
        <f t="shared" si="3"/>
        <v>2</v>
      </c>
    </row>
    <row r="93" spans="1:35" ht="12.3">
      <c r="A93" s="6" t="s">
        <v>61</v>
      </c>
      <c r="B93" s="6" t="s">
        <v>62</v>
      </c>
      <c r="C93" s="7">
        <v>18</v>
      </c>
      <c r="D93" s="7">
        <v>17</v>
      </c>
      <c r="E93" s="7">
        <v>0</v>
      </c>
      <c r="F93" s="7">
        <v>92</v>
      </c>
      <c r="G93" s="7">
        <v>92</v>
      </c>
      <c r="H93" s="7">
        <v>0</v>
      </c>
      <c r="I93" s="7">
        <v>0</v>
      </c>
      <c r="J93" s="7">
        <v>0</v>
      </c>
      <c r="K93" s="7">
        <v>51</v>
      </c>
      <c r="L93" s="7">
        <v>0</v>
      </c>
      <c r="M93" s="7">
        <v>0</v>
      </c>
      <c r="N93" s="7">
        <v>41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/>
      <c r="AF93" s="6"/>
      <c r="AG93" s="6" t="s">
        <v>183</v>
      </c>
      <c r="AH93" s="16">
        <f t="shared" si="2"/>
        <v>1</v>
      </c>
      <c r="AI93" s="16">
        <f t="shared" si="3"/>
        <v>2</v>
      </c>
    </row>
    <row r="94" spans="1:35" ht="12.3">
      <c r="A94" s="6" t="s">
        <v>63</v>
      </c>
      <c r="B94" s="6" t="s">
        <v>64</v>
      </c>
      <c r="C94" s="7">
        <v>26</v>
      </c>
      <c r="D94" s="7">
        <v>4</v>
      </c>
      <c r="E94" s="7">
        <v>4</v>
      </c>
      <c r="F94" s="7">
        <v>18</v>
      </c>
      <c r="G94" s="7">
        <v>12</v>
      </c>
      <c r="H94" s="7">
        <v>0</v>
      </c>
      <c r="I94" s="7">
        <v>0</v>
      </c>
      <c r="J94" s="7">
        <v>0</v>
      </c>
      <c r="K94" s="7">
        <v>4</v>
      </c>
      <c r="L94" s="7">
        <v>0</v>
      </c>
      <c r="M94" s="7">
        <v>1</v>
      </c>
      <c r="N94" s="7">
        <v>4</v>
      </c>
      <c r="O94" s="7">
        <v>0</v>
      </c>
      <c r="P94" s="7">
        <v>0</v>
      </c>
      <c r="Q94" s="7">
        <v>0</v>
      </c>
      <c r="R94" s="7">
        <v>3</v>
      </c>
      <c r="S94" s="7">
        <v>0</v>
      </c>
      <c r="T94" s="7">
        <v>0</v>
      </c>
      <c r="U94" s="7">
        <v>0</v>
      </c>
      <c r="V94" s="7">
        <v>6</v>
      </c>
      <c r="W94" s="7">
        <v>0</v>
      </c>
      <c r="X94" s="7">
        <v>0</v>
      </c>
      <c r="Y94" s="7">
        <v>0</v>
      </c>
      <c r="Z94" s="7">
        <v>4</v>
      </c>
      <c r="AA94" s="7">
        <v>2</v>
      </c>
      <c r="AB94" s="7">
        <v>0</v>
      </c>
      <c r="AC94" s="7">
        <v>0</v>
      </c>
      <c r="AD94" s="7">
        <v>0</v>
      </c>
      <c r="AE94" s="7"/>
      <c r="AF94" s="6"/>
      <c r="AG94" s="6" t="s">
        <v>184</v>
      </c>
      <c r="AH94" s="16">
        <f t="shared" si="2"/>
        <v>1</v>
      </c>
      <c r="AI94" s="16">
        <f t="shared" si="3"/>
        <v>2</v>
      </c>
    </row>
    <row r="95" spans="1:35" ht="12.3">
      <c r="A95" s="6" t="s">
        <v>65</v>
      </c>
      <c r="B95" s="6" t="s">
        <v>66</v>
      </c>
      <c r="C95" s="7">
        <v>2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/>
      <c r="AF95" s="6"/>
      <c r="AG95" s="6" t="s">
        <v>185</v>
      </c>
      <c r="AH95" s="16">
        <f t="shared" si="2"/>
        <v>1</v>
      </c>
      <c r="AI95" s="16">
        <f t="shared" si="3"/>
        <v>2</v>
      </c>
    </row>
    <row r="96" spans="1:35" ht="12.3">
      <c r="A96" s="6" t="s">
        <v>67</v>
      </c>
      <c r="B96" s="6" t="s">
        <v>66</v>
      </c>
      <c r="C96" s="7">
        <v>6</v>
      </c>
      <c r="D96" s="7">
        <v>1</v>
      </c>
      <c r="E96" s="7">
        <v>3</v>
      </c>
      <c r="F96" s="7">
        <v>9</v>
      </c>
      <c r="G96" s="7">
        <v>2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2</v>
      </c>
      <c r="S96" s="7">
        <v>0</v>
      </c>
      <c r="T96" s="7">
        <v>0</v>
      </c>
      <c r="U96" s="7">
        <v>0</v>
      </c>
      <c r="V96" s="7">
        <v>7</v>
      </c>
      <c r="W96" s="7">
        <v>0</v>
      </c>
      <c r="X96" s="7">
        <v>0</v>
      </c>
      <c r="Y96" s="7">
        <v>3</v>
      </c>
      <c r="Z96" s="7">
        <v>4</v>
      </c>
      <c r="AA96" s="7">
        <v>0</v>
      </c>
      <c r="AB96" s="7">
        <v>0</v>
      </c>
      <c r="AC96" s="7">
        <v>0</v>
      </c>
      <c r="AD96" s="7">
        <v>0</v>
      </c>
      <c r="AE96" s="7"/>
      <c r="AF96" s="6"/>
      <c r="AG96" s="6" t="s">
        <v>187</v>
      </c>
      <c r="AH96" s="16">
        <f t="shared" si="2"/>
        <v>2</v>
      </c>
      <c r="AI96" s="16">
        <f t="shared" si="3"/>
        <v>4</v>
      </c>
    </row>
    <row r="97" spans="1:35" ht="12.3">
      <c r="A97" s="6" t="s">
        <v>68</v>
      </c>
      <c r="B97" s="6" t="s">
        <v>66</v>
      </c>
      <c r="C97" s="7">
        <v>6</v>
      </c>
      <c r="D97" s="7">
        <v>3</v>
      </c>
      <c r="E97" s="7">
        <v>3</v>
      </c>
      <c r="F97" s="7">
        <v>9</v>
      </c>
      <c r="G97" s="7">
        <v>3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3</v>
      </c>
      <c r="S97" s="7">
        <v>0</v>
      </c>
      <c r="T97" s="7">
        <v>0</v>
      </c>
      <c r="U97" s="7">
        <v>0</v>
      </c>
      <c r="V97" s="7">
        <v>6</v>
      </c>
      <c r="W97" s="7">
        <v>0</v>
      </c>
      <c r="X97" s="7">
        <v>0</v>
      </c>
      <c r="Y97" s="7">
        <v>3</v>
      </c>
      <c r="Z97" s="7">
        <v>3</v>
      </c>
      <c r="AA97" s="7">
        <v>0</v>
      </c>
      <c r="AB97" s="7">
        <v>0</v>
      </c>
      <c r="AC97" s="7">
        <v>0</v>
      </c>
      <c r="AD97" s="7">
        <v>0</v>
      </c>
      <c r="AE97" s="7"/>
      <c r="AF97" s="6"/>
      <c r="AG97" s="6" t="s">
        <v>190</v>
      </c>
      <c r="AH97" s="16">
        <f t="shared" si="2"/>
        <v>6</v>
      </c>
      <c r="AI97" s="16">
        <f t="shared" si="3"/>
        <v>12</v>
      </c>
    </row>
    <row r="98" spans="1:35" ht="12.3">
      <c r="A98" s="6" t="s">
        <v>69</v>
      </c>
      <c r="B98" s="6" t="s">
        <v>70</v>
      </c>
      <c r="C98" s="7">
        <v>4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/>
      <c r="AF98" s="6"/>
      <c r="AG98" s="6" t="s">
        <v>197</v>
      </c>
      <c r="AH98" s="16">
        <f t="shared" si="2"/>
        <v>1</v>
      </c>
      <c r="AI98" s="16">
        <f t="shared" si="3"/>
        <v>2</v>
      </c>
    </row>
    <row r="99" spans="1:35" ht="12.3">
      <c r="A99" s="6" t="s">
        <v>71</v>
      </c>
      <c r="B99" s="6" t="s">
        <v>72</v>
      </c>
      <c r="C99" s="7">
        <v>3</v>
      </c>
      <c r="D99" s="7">
        <v>3</v>
      </c>
      <c r="E99" s="7">
        <v>2</v>
      </c>
      <c r="F99" s="7">
        <v>24</v>
      </c>
      <c r="G99" s="7">
        <v>20</v>
      </c>
      <c r="H99" s="7">
        <v>0</v>
      </c>
      <c r="I99" s="7">
        <v>0</v>
      </c>
      <c r="J99" s="7">
        <v>0</v>
      </c>
      <c r="K99" s="7">
        <v>16</v>
      </c>
      <c r="L99" s="7">
        <v>0</v>
      </c>
      <c r="M99" s="7">
        <v>0</v>
      </c>
      <c r="N99" s="7">
        <v>3</v>
      </c>
      <c r="O99" s="7">
        <v>0</v>
      </c>
      <c r="P99" s="7">
        <v>0</v>
      </c>
      <c r="Q99" s="7">
        <v>0</v>
      </c>
      <c r="R99" s="7">
        <v>1</v>
      </c>
      <c r="S99" s="7">
        <v>0</v>
      </c>
      <c r="T99" s="7">
        <v>0</v>
      </c>
      <c r="U99" s="7">
        <v>0</v>
      </c>
      <c r="V99" s="7">
        <v>4</v>
      </c>
      <c r="W99" s="7">
        <v>0</v>
      </c>
      <c r="X99" s="7">
        <v>0</v>
      </c>
      <c r="Y99" s="7">
        <v>0</v>
      </c>
      <c r="Z99" s="7">
        <v>0</v>
      </c>
      <c r="AA99" s="7">
        <v>4</v>
      </c>
      <c r="AB99" s="7">
        <v>0</v>
      </c>
      <c r="AC99" s="7">
        <v>0</v>
      </c>
      <c r="AD99" s="7">
        <v>0</v>
      </c>
      <c r="AE99" s="7"/>
      <c r="AF99" s="6"/>
      <c r="AG99" s="6" t="s">
        <v>199</v>
      </c>
      <c r="AH99" s="16">
        <f t="shared" si="2"/>
        <v>5</v>
      </c>
      <c r="AI99" s="16">
        <f t="shared" si="3"/>
        <v>10</v>
      </c>
    </row>
    <row r="100" spans="1:35" ht="12.3">
      <c r="A100" s="6" t="s">
        <v>73</v>
      </c>
      <c r="B100" s="6" t="s">
        <v>74</v>
      </c>
      <c r="C100" s="7">
        <v>4</v>
      </c>
      <c r="D100" s="7">
        <v>3</v>
      </c>
      <c r="E100" s="7">
        <v>0</v>
      </c>
      <c r="F100" s="7">
        <v>8</v>
      </c>
      <c r="G100" s="7">
        <v>8</v>
      </c>
      <c r="H100" s="7">
        <v>0</v>
      </c>
      <c r="I100" s="7">
        <v>0</v>
      </c>
      <c r="J100" s="7">
        <v>0</v>
      </c>
      <c r="K100" s="7">
        <v>2</v>
      </c>
      <c r="L100" s="7">
        <v>0</v>
      </c>
      <c r="M100" s="7">
        <v>0</v>
      </c>
      <c r="N100" s="7">
        <v>6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/>
      <c r="AF100" s="6"/>
      <c r="AG100" s="6" t="s">
        <v>205</v>
      </c>
      <c r="AH100" s="16">
        <f t="shared" si="2"/>
        <v>3</v>
      </c>
      <c r="AI100" s="16">
        <f t="shared" si="3"/>
        <v>6</v>
      </c>
    </row>
    <row r="101" spans="1:35" ht="12.3">
      <c r="A101" s="6" t="s">
        <v>73</v>
      </c>
      <c r="B101" s="6" t="s">
        <v>70</v>
      </c>
      <c r="C101" s="7">
        <v>4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/>
      <c r="AF101" s="6"/>
      <c r="AG101" s="6" t="s">
        <v>209</v>
      </c>
      <c r="AH101" s="16">
        <f t="shared" si="2"/>
        <v>3</v>
      </c>
      <c r="AI101" s="16">
        <f t="shared" si="3"/>
        <v>6</v>
      </c>
    </row>
    <row r="102" spans="1:35" ht="12.3">
      <c r="A102" s="6" t="s">
        <v>75</v>
      </c>
      <c r="B102" s="6" t="s">
        <v>76</v>
      </c>
      <c r="C102" s="7">
        <v>2</v>
      </c>
      <c r="D102" s="7">
        <v>1</v>
      </c>
      <c r="E102" s="7">
        <v>1</v>
      </c>
      <c r="F102" s="7">
        <v>4</v>
      </c>
      <c r="G102" s="7">
        <v>2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2</v>
      </c>
      <c r="O102" s="7">
        <v>0</v>
      </c>
      <c r="P102" s="7">
        <v>0</v>
      </c>
      <c r="Q102" s="7">
        <v>0</v>
      </c>
      <c r="R102" s="7">
        <v>1</v>
      </c>
      <c r="S102" s="7">
        <v>0</v>
      </c>
      <c r="T102" s="7">
        <v>0</v>
      </c>
      <c r="U102" s="7">
        <v>0</v>
      </c>
      <c r="V102" s="7">
        <v>1</v>
      </c>
      <c r="W102" s="7">
        <v>0</v>
      </c>
      <c r="X102" s="7">
        <v>0</v>
      </c>
      <c r="Y102" s="7">
        <v>0</v>
      </c>
      <c r="Z102" s="7">
        <v>0</v>
      </c>
      <c r="AA102" s="7">
        <v>1</v>
      </c>
      <c r="AB102" s="7">
        <v>0</v>
      </c>
      <c r="AC102" s="7">
        <v>0</v>
      </c>
      <c r="AD102" s="7">
        <v>0</v>
      </c>
      <c r="AE102" s="7"/>
      <c r="AF102" s="6"/>
      <c r="AG102" s="6" t="s">
        <v>211</v>
      </c>
      <c r="AH102" s="16">
        <f t="shared" si="2"/>
        <v>3</v>
      </c>
      <c r="AI102" s="16">
        <f t="shared" si="3"/>
        <v>6</v>
      </c>
    </row>
    <row r="103" spans="1:35" ht="12.3">
      <c r="A103" s="6" t="s">
        <v>77</v>
      </c>
      <c r="B103" s="6" t="s">
        <v>76</v>
      </c>
      <c r="C103" s="7">
        <v>2</v>
      </c>
      <c r="D103" s="7">
        <v>0</v>
      </c>
      <c r="E103" s="7">
        <v>1</v>
      </c>
      <c r="F103" s="7">
        <v>1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1</v>
      </c>
      <c r="W103" s="7">
        <v>0</v>
      </c>
      <c r="X103" s="7">
        <v>0</v>
      </c>
      <c r="Y103" s="7">
        <v>0</v>
      </c>
      <c r="Z103" s="7">
        <v>0</v>
      </c>
      <c r="AA103" s="7">
        <v>1</v>
      </c>
      <c r="AB103" s="7">
        <v>0</v>
      </c>
      <c r="AC103" s="7">
        <v>0</v>
      </c>
      <c r="AD103" s="7">
        <v>0</v>
      </c>
      <c r="AE103" s="7"/>
      <c r="AF103" s="6"/>
      <c r="AG103" s="6" t="s">
        <v>212</v>
      </c>
      <c r="AH103" s="16">
        <f t="shared" si="2"/>
        <v>1</v>
      </c>
      <c r="AI103" s="16">
        <f t="shared" si="3"/>
        <v>2</v>
      </c>
    </row>
    <row r="104" spans="1:35" ht="12.3">
      <c r="A104" s="6" t="s">
        <v>78</v>
      </c>
      <c r="B104" s="6" t="s">
        <v>79</v>
      </c>
      <c r="C104" s="7">
        <v>36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/>
      <c r="AF104" s="6"/>
      <c r="AG104" s="6" t="s">
        <v>214</v>
      </c>
      <c r="AH104" s="16">
        <f t="shared" si="2"/>
        <v>1</v>
      </c>
      <c r="AI104" s="16">
        <f t="shared" si="3"/>
        <v>2</v>
      </c>
    </row>
    <row r="105" spans="1:35" ht="12.3">
      <c r="A105" s="6" t="s">
        <v>78</v>
      </c>
      <c r="B105" s="6" t="s">
        <v>80</v>
      </c>
      <c r="C105" s="7">
        <v>38</v>
      </c>
      <c r="D105" s="7">
        <v>0</v>
      </c>
      <c r="E105" s="7">
        <v>9</v>
      </c>
      <c r="F105" s="7">
        <v>12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12</v>
      </c>
      <c r="W105" s="7">
        <v>0</v>
      </c>
      <c r="X105" s="7">
        <v>0</v>
      </c>
      <c r="Y105" s="7">
        <v>0</v>
      </c>
      <c r="Z105" s="7">
        <v>12</v>
      </c>
      <c r="AA105" s="7">
        <v>0</v>
      </c>
      <c r="AB105" s="7">
        <v>0</v>
      </c>
      <c r="AC105" s="7">
        <v>0</v>
      </c>
      <c r="AD105" s="7">
        <v>0</v>
      </c>
      <c r="AE105" s="7"/>
      <c r="AF105" s="6"/>
      <c r="AG105" s="6" t="s">
        <v>216</v>
      </c>
      <c r="AH105" s="16">
        <f t="shared" si="2"/>
        <v>1</v>
      </c>
      <c r="AI105" s="16">
        <f t="shared" si="3"/>
        <v>2</v>
      </c>
    </row>
    <row r="106" spans="1:35" ht="12.3">
      <c r="A106" s="6" t="s">
        <v>81</v>
      </c>
      <c r="B106" s="6" t="s">
        <v>82</v>
      </c>
      <c r="C106" s="7">
        <v>22</v>
      </c>
      <c r="D106" s="7">
        <v>0</v>
      </c>
      <c r="E106" s="7">
        <v>4</v>
      </c>
      <c r="F106" s="7">
        <v>6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6</v>
      </c>
      <c r="W106" s="7">
        <v>0</v>
      </c>
      <c r="X106" s="7">
        <v>0</v>
      </c>
      <c r="Y106" s="7">
        <v>0</v>
      </c>
      <c r="Z106" s="7">
        <v>6</v>
      </c>
      <c r="AA106" s="7">
        <v>0</v>
      </c>
      <c r="AB106" s="7">
        <v>0</v>
      </c>
      <c r="AC106" s="7">
        <v>0</v>
      </c>
      <c r="AD106" s="7">
        <v>0</v>
      </c>
      <c r="AE106" s="7"/>
      <c r="AF106" s="6"/>
      <c r="AG106" s="6" t="s">
        <v>217</v>
      </c>
      <c r="AH106" s="16">
        <f t="shared" si="2"/>
        <v>1</v>
      </c>
      <c r="AI106" s="16">
        <f t="shared" si="3"/>
        <v>2</v>
      </c>
    </row>
    <row r="107" spans="1:35" ht="12.3">
      <c r="A107" s="6" t="s">
        <v>81</v>
      </c>
      <c r="B107" s="6" t="s">
        <v>83</v>
      </c>
      <c r="C107" s="7">
        <v>42</v>
      </c>
      <c r="D107" s="7">
        <v>0</v>
      </c>
      <c r="E107" s="7">
        <v>8</v>
      </c>
      <c r="F107" s="7">
        <v>12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12</v>
      </c>
      <c r="W107" s="7">
        <v>0</v>
      </c>
      <c r="X107" s="7">
        <v>0</v>
      </c>
      <c r="Y107" s="7">
        <v>0</v>
      </c>
      <c r="Z107" s="7">
        <v>12</v>
      </c>
      <c r="AA107" s="7">
        <v>0</v>
      </c>
      <c r="AB107" s="7">
        <v>0</v>
      </c>
      <c r="AC107" s="7">
        <v>0</v>
      </c>
      <c r="AD107" s="7">
        <v>0</v>
      </c>
      <c r="AE107" s="7"/>
      <c r="AF107" s="6"/>
      <c r="AG107" s="6" t="s">
        <v>218</v>
      </c>
      <c r="AH107" s="16">
        <f t="shared" si="2"/>
        <v>1</v>
      </c>
      <c r="AI107" s="16">
        <f t="shared" si="3"/>
        <v>2</v>
      </c>
    </row>
    <row r="108" spans="1:35" ht="12.3">
      <c r="A108" s="6" t="s">
        <v>81</v>
      </c>
      <c r="B108" s="6" t="s">
        <v>84</v>
      </c>
      <c r="C108" s="7">
        <v>42</v>
      </c>
      <c r="D108" s="7">
        <v>0</v>
      </c>
      <c r="E108" s="7">
        <v>8</v>
      </c>
      <c r="F108" s="7">
        <v>12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12</v>
      </c>
      <c r="W108" s="7">
        <v>0</v>
      </c>
      <c r="X108" s="7">
        <v>0</v>
      </c>
      <c r="Y108" s="7">
        <v>0</v>
      </c>
      <c r="Z108" s="7">
        <v>12</v>
      </c>
      <c r="AA108" s="7">
        <v>0</v>
      </c>
      <c r="AB108" s="7">
        <v>0</v>
      </c>
      <c r="AC108" s="7">
        <v>0</v>
      </c>
      <c r="AD108" s="7">
        <v>0</v>
      </c>
      <c r="AE108" s="7"/>
      <c r="AF108" s="6"/>
      <c r="AG108" s="6" t="s">
        <v>219</v>
      </c>
      <c r="AH108" s="16">
        <f t="shared" si="2"/>
        <v>1</v>
      </c>
      <c r="AI108" s="16">
        <f t="shared" si="3"/>
        <v>2</v>
      </c>
    </row>
    <row r="109" spans="1:35" ht="12.3">
      <c r="A109" s="6" t="s">
        <v>85</v>
      </c>
      <c r="B109" s="6" t="s">
        <v>86</v>
      </c>
      <c r="C109" s="7">
        <v>106</v>
      </c>
      <c r="D109" s="7">
        <v>0</v>
      </c>
      <c r="E109" s="7">
        <v>23</v>
      </c>
      <c r="F109" s="7">
        <v>25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25</v>
      </c>
      <c r="W109" s="7">
        <v>0</v>
      </c>
      <c r="X109" s="7">
        <v>0</v>
      </c>
      <c r="Y109" s="7">
        <v>0</v>
      </c>
      <c r="Z109" s="7">
        <v>25</v>
      </c>
      <c r="AA109" s="7">
        <v>0</v>
      </c>
      <c r="AB109" s="7">
        <v>0</v>
      </c>
      <c r="AC109" s="7">
        <v>0</v>
      </c>
      <c r="AD109" s="7">
        <v>0</v>
      </c>
      <c r="AE109" s="7"/>
      <c r="AF109" s="6"/>
      <c r="AG109" s="6" t="s">
        <v>220</v>
      </c>
      <c r="AH109" s="16">
        <f t="shared" si="2"/>
        <v>1</v>
      </c>
      <c r="AI109" s="16">
        <f t="shared" si="3"/>
        <v>2</v>
      </c>
    </row>
    <row r="110" spans="1:35" ht="12.3">
      <c r="A110" s="6" t="s">
        <v>87</v>
      </c>
      <c r="B110" s="6" t="s">
        <v>88</v>
      </c>
      <c r="C110" s="7">
        <v>5</v>
      </c>
      <c r="D110" s="7">
        <v>0</v>
      </c>
      <c r="E110" s="7">
        <v>1</v>
      </c>
      <c r="F110" s="7">
        <v>1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1</v>
      </c>
      <c r="W110" s="7">
        <v>0</v>
      </c>
      <c r="X110" s="7">
        <v>0</v>
      </c>
      <c r="Y110" s="7">
        <v>0</v>
      </c>
      <c r="Z110" s="7">
        <v>0</v>
      </c>
      <c r="AA110" s="7">
        <v>1</v>
      </c>
      <c r="AB110" s="7">
        <v>0</v>
      </c>
      <c r="AC110" s="7">
        <v>0</v>
      </c>
      <c r="AD110" s="7">
        <v>0</v>
      </c>
      <c r="AE110" s="7"/>
      <c r="AF110" s="6"/>
      <c r="AG110" s="6" t="s">
        <v>221</v>
      </c>
      <c r="AH110" s="16">
        <f t="shared" si="2"/>
        <v>2</v>
      </c>
      <c r="AI110" s="16">
        <f t="shared" si="3"/>
        <v>4</v>
      </c>
    </row>
    <row r="111" spans="1:35" ht="12.3">
      <c r="A111" s="6" t="s">
        <v>89</v>
      </c>
      <c r="B111" s="6" t="s">
        <v>90</v>
      </c>
      <c r="C111" s="7">
        <v>34</v>
      </c>
      <c r="D111" s="7">
        <v>0</v>
      </c>
      <c r="E111" s="7">
        <v>8</v>
      </c>
      <c r="F111" s="7">
        <v>12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12</v>
      </c>
      <c r="W111" s="7">
        <v>0</v>
      </c>
      <c r="X111" s="7">
        <v>0</v>
      </c>
      <c r="Y111" s="7">
        <v>0</v>
      </c>
      <c r="Z111" s="7">
        <v>12</v>
      </c>
      <c r="AA111" s="7">
        <v>0</v>
      </c>
      <c r="AB111" s="7">
        <v>0</v>
      </c>
      <c r="AC111" s="7">
        <v>0</v>
      </c>
      <c r="AD111" s="7">
        <v>0</v>
      </c>
      <c r="AE111" s="7"/>
      <c r="AF111" s="6"/>
      <c r="AG111" s="6" t="s">
        <v>224</v>
      </c>
      <c r="AH111" s="16">
        <f t="shared" si="2"/>
        <v>1</v>
      </c>
      <c r="AI111" s="16">
        <f t="shared" si="3"/>
        <v>2</v>
      </c>
    </row>
    <row r="112" spans="1:35" ht="12.3">
      <c r="A112" s="6" t="s">
        <v>89</v>
      </c>
      <c r="B112" s="6" t="s">
        <v>91</v>
      </c>
      <c r="C112" s="7">
        <v>52</v>
      </c>
      <c r="D112" s="7">
        <v>0</v>
      </c>
      <c r="E112" s="7">
        <v>11</v>
      </c>
      <c r="F112" s="7">
        <v>13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13</v>
      </c>
      <c r="W112" s="7">
        <v>0</v>
      </c>
      <c r="X112" s="7">
        <v>0</v>
      </c>
      <c r="Y112" s="7">
        <v>0</v>
      </c>
      <c r="Z112" s="7">
        <v>13</v>
      </c>
      <c r="AA112" s="7">
        <v>0</v>
      </c>
      <c r="AB112" s="7">
        <v>0</v>
      </c>
      <c r="AC112" s="7">
        <v>0</v>
      </c>
      <c r="AD112" s="7">
        <v>0</v>
      </c>
      <c r="AE112" s="7"/>
      <c r="AF112" s="6"/>
      <c r="AG112" s="6" t="s">
        <v>226</v>
      </c>
      <c r="AH112" s="16">
        <f t="shared" si="2"/>
        <v>1</v>
      </c>
      <c r="AI112" s="16">
        <f t="shared" si="3"/>
        <v>2</v>
      </c>
    </row>
    <row r="113" spans="1:35" ht="12.3">
      <c r="A113" s="6" t="s">
        <v>89</v>
      </c>
      <c r="B113" s="6" t="s">
        <v>92</v>
      </c>
      <c r="C113" s="7">
        <v>52</v>
      </c>
      <c r="D113" s="7">
        <v>0</v>
      </c>
      <c r="E113" s="7">
        <v>11</v>
      </c>
      <c r="F113" s="7">
        <v>13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13</v>
      </c>
      <c r="W113" s="7">
        <v>0</v>
      </c>
      <c r="X113" s="7">
        <v>0</v>
      </c>
      <c r="Y113" s="7">
        <v>0</v>
      </c>
      <c r="Z113" s="7">
        <v>13</v>
      </c>
      <c r="AA113" s="7">
        <v>0</v>
      </c>
      <c r="AB113" s="7">
        <v>0</v>
      </c>
      <c r="AC113" s="7">
        <v>0</v>
      </c>
      <c r="AD113" s="7">
        <v>0</v>
      </c>
      <c r="AE113" s="7"/>
      <c r="AF113" s="6"/>
      <c r="AG113" s="6" t="s">
        <v>228</v>
      </c>
      <c r="AH113" s="16">
        <f t="shared" si="2"/>
        <v>1</v>
      </c>
      <c r="AI113" s="16">
        <f t="shared" si="3"/>
        <v>2</v>
      </c>
    </row>
    <row r="114" spans="1:35" ht="12.3">
      <c r="A114" s="6" t="s">
        <v>93</v>
      </c>
      <c r="B114" s="6" t="s">
        <v>94</v>
      </c>
      <c r="C114" s="7">
        <v>13</v>
      </c>
      <c r="D114" s="7">
        <v>9</v>
      </c>
      <c r="E114" s="7">
        <v>8</v>
      </c>
      <c r="F114" s="7">
        <v>40</v>
      </c>
      <c r="G114" s="7">
        <v>24</v>
      </c>
      <c r="H114" s="7">
        <v>0</v>
      </c>
      <c r="I114" s="7">
        <v>0</v>
      </c>
      <c r="J114" s="7">
        <v>0</v>
      </c>
      <c r="K114" s="7">
        <v>7</v>
      </c>
      <c r="L114" s="7">
        <v>0</v>
      </c>
      <c r="M114" s="7">
        <v>2</v>
      </c>
      <c r="N114" s="7">
        <v>6</v>
      </c>
      <c r="O114" s="7">
        <v>0</v>
      </c>
      <c r="P114" s="7">
        <v>0</v>
      </c>
      <c r="Q114" s="7">
        <v>0</v>
      </c>
      <c r="R114" s="7">
        <v>9</v>
      </c>
      <c r="S114" s="7">
        <v>0</v>
      </c>
      <c r="T114" s="7">
        <v>0</v>
      </c>
      <c r="U114" s="7">
        <v>0</v>
      </c>
      <c r="V114" s="7">
        <v>16</v>
      </c>
      <c r="W114" s="7">
        <v>0</v>
      </c>
      <c r="X114" s="7">
        <v>0</v>
      </c>
      <c r="Y114" s="7">
        <v>0</v>
      </c>
      <c r="Z114" s="7">
        <v>0</v>
      </c>
      <c r="AA114" s="7">
        <v>16</v>
      </c>
      <c r="AB114" s="7">
        <v>0</v>
      </c>
      <c r="AC114" s="7">
        <v>0</v>
      </c>
      <c r="AD114" s="7">
        <v>0</v>
      </c>
      <c r="AE114" s="7"/>
      <c r="AF114" s="6"/>
      <c r="AG114" s="6" t="s">
        <v>230</v>
      </c>
      <c r="AH114" s="16">
        <f t="shared" si="2"/>
        <v>1</v>
      </c>
      <c r="AI114" s="16">
        <f t="shared" si="3"/>
        <v>2</v>
      </c>
    </row>
    <row r="115" spans="1:35" ht="12.3">
      <c r="A115" s="6" t="s">
        <v>95</v>
      </c>
      <c r="B115" s="6" t="s">
        <v>96</v>
      </c>
      <c r="C115" s="7">
        <v>3</v>
      </c>
      <c r="D115" s="7">
        <v>3</v>
      </c>
      <c r="E115" s="7">
        <v>2</v>
      </c>
      <c r="F115" s="7">
        <v>48</v>
      </c>
      <c r="G115" s="7">
        <v>42</v>
      </c>
      <c r="H115" s="7">
        <v>0</v>
      </c>
      <c r="I115" s="7">
        <v>0</v>
      </c>
      <c r="J115" s="7">
        <v>0</v>
      </c>
      <c r="K115" s="7">
        <v>24</v>
      </c>
      <c r="L115" s="7">
        <v>0</v>
      </c>
      <c r="M115" s="7">
        <v>0</v>
      </c>
      <c r="N115" s="7">
        <v>16</v>
      </c>
      <c r="O115" s="7">
        <v>0</v>
      </c>
      <c r="P115" s="7">
        <v>0</v>
      </c>
      <c r="Q115" s="7">
        <v>0</v>
      </c>
      <c r="R115" s="7">
        <v>2</v>
      </c>
      <c r="S115" s="7">
        <v>0</v>
      </c>
      <c r="T115" s="7">
        <v>0</v>
      </c>
      <c r="U115" s="7">
        <v>0</v>
      </c>
      <c r="V115" s="7">
        <v>6</v>
      </c>
      <c r="W115" s="7">
        <v>0</v>
      </c>
      <c r="X115" s="7">
        <v>0</v>
      </c>
      <c r="Y115" s="7">
        <v>0</v>
      </c>
      <c r="Z115" s="7">
        <v>0</v>
      </c>
      <c r="AA115" s="7">
        <v>6</v>
      </c>
      <c r="AB115" s="7">
        <v>0</v>
      </c>
      <c r="AC115" s="7">
        <v>0</v>
      </c>
      <c r="AD115" s="7">
        <v>0</v>
      </c>
      <c r="AE115" s="7"/>
      <c r="AF115" s="6"/>
      <c r="AG115" s="6" t="s">
        <v>231</v>
      </c>
      <c r="AH115" s="16">
        <f t="shared" si="2"/>
        <v>2</v>
      </c>
      <c r="AI115" s="16">
        <f t="shared" si="3"/>
        <v>4</v>
      </c>
    </row>
    <row r="116" spans="1:35" ht="12.3">
      <c r="A116" s="6" t="s">
        <v>95</v>
      </c>
      <c r="B116" s="6" t="s">
        <v>97</v>
      </c>
      <c r="C116" s="7">
        <v>4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/>
      <c r="AF116" s="6"/>
      <c r="AG116" s="6" t="s">
        <v>234</v>
      </c>
      <c r="AH116" s="16">
        <f t="shared" si="2"/>
        <v>1</v>
      </c>
      <c r="AI116" s="16">
        <f t="shared" si="3"/>
        <v>2</v>
      </c>
    </row>
    <row r="117" spans="1:35" ht="12.3">
      <c r="A117" s="6" t="s">
        <v>95</v>
      </c>
      <c r="B117" s="6" t="s">
        <v>98</v>
      </c>
      <c r="C117" s="7">
        <v>3</v>
      </c>
      <c r="D117" s="7">
        <v>3</v>
      </c>
      <c r="E117" s="7">
        <v>0</v>
      </c>
      <c r="F117" s="7">
        <v>38</v>
      </c>
      <c r="G117" s="7">
        <v>38</v>
      </c>
      <c r="H117" s="7">
        <v>0</v>
      </c>
      <c r="I117" s="7">
        <v>0</v>
      </c>
      <c r="J117" s="7">
        <v>0</v>
      </c>
      <c r="K117" s="7">
        <v>12</v>
      </c>
      <c r="L117" s="7">
        <v>0</v>
      </c>
      <c r="M117" s="7">
        <v>2</v>
      </c>
      <c r="N117" s="7">
        <v>20</v>
      </c>
      <c r="O117" s="7">
        <v>0</v>
      </c>
      <c r="P117" s="7">
        <v>0</v>
      </c>
      <c r="Q117" s="7">
        <v>0</v>
      </c>
      <c r="R117" s="7">
        <v>4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/>
      <c r="AF117" s="6"/>
      <c r="AG117" s="6" t="s">
        <v>235</v>
      </c>
      <c r="AH117" s="16">
        <f t="shared" si="2"/>
        <v>2</v>
      </c>
      <c r="AI117" s="16">
        <f t="shared" si="3"/>
        <v>4</v>
      </c>
    </row>
    <row r="118" spans="1:35" ht="12.3">
      <c r="A118" s="6" t="s">
        <v>95</v>
      </c>
      <c r="B118" s="6" t="s">
        <v>99</v>
      </c>
      <c r="C118" s="7">
        <v>2</v>
      </c>
      <c r="D118" s="7">
        <v>0</v>
      </c>
      <c r="E118" s="7">
        <v>1</v>
      </c>
      <c r="F118" s="7">
        <v>1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1</v>
      </c>
      <c r="W118" s="7">
        <v>0</v>
      </c>
      <c r="X118" s="7">
        <v>0</v>
      </c>
      <c r="Y118" s="7">
        <v>0</v>
      </c>
      <c r="Z118" s="7">
        <v>1</v>
      </c>
      <c r="AA118" s="7">
        <v>0</v>
      </c>
      <c r="AB118" s="7">
        <v>0</v>
      </c>
      <c r="AC118" s="7">
        <v>0</v>
      </c>
      <c r="AD118" s="7">
        <v>0</v>
      </c>
      <c r="AE118" s="7"/>
      <c r="AF118" s="6"/>
      <c r="AG118" s="6" t="s">
        <v>236</v>
      </c>
      <c r="AH118" s="16">
        <f t="shared" si="2"/>
        <v>1</v>
      </c>
      <c r="AI118" s="16">
        <f t="shared" si="3"/>
        <v>2</v>
      </c>
    </row>
    <row r="119" spans="1:35" ht="12.3">
      <c r="A119" s="6" t="s">
        <v>100</v>
      </c>
      <c r="B119" s="6" t="s">
        <v>101</v>
      </c>
      <c r="C119" s="7">
        <v>8</v>
      </c>
      <c r="D119" s="7">
        <v>4</v>
      </c>
      <c r="E119" s="7">
        <v>1</v>
      </c>
      <c r="F119" s="7">
        <v>13</v>
      </c>
      <c r="G119" s="7">
        <v>10</v>
      </c>
      <c r="H119" s="7">
        <v>0</v>
      </c>
      <c r="I119" s="7">
        <v>0</v>
      </c>
      <c r="J119" s="7">
        <v>0</v>
      </c>
      <c r="K119" s="7">
        <v>7</v>
      </c>
      <c r="L119" s="7">
        <v>0</v>
      </c>
      <c r="M119" s="7">
        <v>0</v>
      </c>
      <c r="N119" s="7">
        <v>3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3</v>
      </c>
      <c r="W119" s="7">
        <v>0</v>
      </c>
      <c r="X119" s="7">
        <v>0</v>
      </c>
      <c r="Y119" s="7">
        <v>0</v>
      </c>
      <c r="Z119" s="7">
        <v>3</v>
      </c>
      <c r="AA119" s="7">
        <v>0</v>
      </c>
      <c r="AB119" s="7">
        <v>0</v>
      </c>
      <c r="AC119" s="7">
        <v>0</v>
      </c>
      <c r="AD119" s="7">
        <v>0</v>
      </c>
      <c r="AE119" s="7"/>
      <c r="AF119" s="6"/>
      <c r="AG119" s="6" t="s">
        <v>237</v>
      </c>
      <c r="AH119" s="16">
        <f t="shared" si="2"/>
        <v>2</v>
      </c>
      <c r="AI119" s="16">
        <f t="shared" si="3"/>
        <v>4</v>
      </c>
    </row>
    <row r="120" spans="1:35" ht="12.3">
      <c r="A120" s="6" t="s">
        <v>100</v>
      </c>
      <c r="B120" s="6" t="s">
        <v>102</v>
      </c>
      <c r="C120" s="7">
        <v>8</v>
      </c>
      <c r="D120" s="7">
        <v>4</v>
      </c>
      <c r="E120" s="7">
        <v>1</v>
      </c>
      <c r="F120" s="7">
        <v>17</v>
      </c>
      <c r="G120" s="7">
        <v>14</v>
      </c>
      <c r="H120" s="7">
        <v>0</v>
      </c>
      <c r="I120" s="7">
        <v>0</v>
      </c>
      <c r="J120" s="7">
        <v>0</v>
      </c>
      <c r="K120" s="7">
        <v>3</v>
      </c>
      <c r="L120" s="7">
        <v>0</v>
      </c>
      <c r="M120" s="7">
        <v>4</v>
      </c>
      <c r="N120" s="7">
        <v>7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3</v>
      </c>
      <c r="W120" s="7">
        <v>0</v>
      </c>
      <c r="X120" s="7">
        <v>0</v>
      </c>
      <c r="Y120" s="7">
        <v>0</v>
      </c>
      <c r="Z120" s="7">
        <v>3</v>
      </c>
      <c r="AA120" s="7">
        <v>0</v>
      </c>
      <c r="AB120" s="7">
        <v>0</v>
      </c>
      <c r="AC120" s="7">
        <v>0</v>
      </c>
      <c r="AD120" s="7">
        <v>0</v>
      </c>
      <c r="AE120" s="7"/>
      <c r="AF120" s="6"/>
      <c r="AG120" s="6" t="s">
        <v>238</v>
      </c>
      <c r="AH120" s="16">
        <f t="shared" si="2"/>
        <v>3</v>
      </c>
      <c r="AI120" s="16">
        <f t="shared" si="3"/>
        <v>6</v>
      </c>
    </row>
    <row r="121" spans="1:35" ht="12.3">
      <c r="A121" s="6" t="s">
        <v>100</v>
      </c>
      <c r="B121" s="6" t="s">
        <v>103</v>
      </c>
      <c r="C121" s="7">
        <v>10</v>
      </c>
      <c r="D121" s="7">
        <v>7</v>
      </c>
      <c r="E121" s="7">
        <v>4</v>
      </c>
      <c r="F121" s="7">
        <v>23</v>
      </c>
      <c r="G121" s="7">
        <v>17</v>
      </c>
      <c r="H121" s="7">
        <v>0</v>
      </c>
      <c r="I121" s="7">
        <v>0</v>
      </c>
      <c r="J121" s="7">
        <v>0</v>
      </c>
      <c r="K121" s="7">
        <v>15</v>
      </c>
      <c r="L121" s="7">
        <v>0</v>
      </c>
      <c r="M121" s="7">
        <v>0</v>
      </c>
      <c r="N121" s="7">
        <v>1</v>
      </c>
      <c r="O121" s="7">
        <v>0</v>
      </c>
      <c r="P121" s="7">
        <v>0</v>
      </c>
      <c r="Q121" s="7">
        <v>0</v>
      </c>
      <c r="R121" s="7">
        <v>1</v>
      </c>
      <c r="S121" s="7">
        <v>0</v>
      </c>
      <c r="T121" s="7">
        <v>0</v>
      </c>
      <c r="U121" s="7">
        <v>0</v>
      </c>
      <c r="V121" s="7">
        <v>6</v>
      </c>
      <c r="W121" s="7">
        <v>0</v>
      </c>
      <c r="X121" s="7">
        <v>0</v>
      </c>
      <c r="Y121" s="7">
        <v>0</v>
      </c>
      <c r="Z121" s="7">
        <v>1</v>
      </c>
      <c r="AA121" s="7">
        <v>5</v>
      </c>
      <c r="AB121" s="7">
        <v>0</v>
      </c>
      <c r="AC121" s="7">
        <v>0</v>
      </c>
      <c r="AD121" s="7">
        <v>0</v>
      </c>
      <c r="AE121" s="7"/>
      <c r="AF121" s="6"/>
      <c r="AG121" s="6" t="s">
        <v>240</v>
      </c>
      <c r="AH121" s="16">
        <f t="shared" si="2"/>
        <v>4</v>
      </c>
      <c r="AI121" s="16">
        <f t="shared" si="3"/>
        <v>8</v>
      </c>
    </row>
    <row r="122" spans="1:35" ht="12.3">
      <c r="A122" s="6" t="s">
        <v>104</v>
      </c>
      <c r="B122" s="6" t="s">
        <v>105</v>
      </c>
      <c r="C122" s="7">
        <v>150</v>
      </c>
      <c r="D122" s="7">
        <v>0</v>
      </c>
      <c r="E122" s="7">
        <v>23</v>
      </c>
      <c r="F122" s="7">
        <v>29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29</v>
      </c>
      <c r="W122" s="7">
        <v>0</v>
      </c>
      <c r="X122" s="7">
        <v>0</v>
      </c>
      <c r="Y122" s="7">
        <v>0</v>
      </c>
      <c r="Z122" s="7">
        <v>29</v>
      </c>
      <c r="AA122" s="7">
        <v>0</v>
      </c>
      <c r="AB122" s="7">
        <v>0</v>
      </c>
      <c r="AC122" s="7">
        <v>0</v>
      </c>
      <c r="AD122" s="7">
        <v>0</v>
      </c>
      <c r="AE122" s="7"/>
      <c r="AF122" s="6"/>
      <c r="AG122" s="6" t="s">
        <v>245</v>
      </c>
      <c r="AH122" s="16">
        <f t="shared" si="2"/>
        <v>1</v>
      </c>
      <c r="AI122" s="16">
        <f t="shared" si="3"/>
        <v>2</v>
      </c>
    </row>
    <row r="123" spans="1:35" ht="12.3">
      <c r="A123" s="6" t="s">
        <v>106</v>
      </c>
      <c r="B123" s="6" t="s">
        <v>107</v>
      </c>
      <c r="C123" s="7">
        <v>6</v>
      </c>
      <c r="D123" s="7">
        <v>0</v>
      </c>
      <c r="E123" s="7">
        <v>1</v>
      </c>
      <c r="F123" s="7">
        <v>1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1</v>
      </c>
      <c r="W123" s="7">
        <v>0</v>
      </c>
      <c r="X123" s="7">
        <v>0</v>
      </c>
      <c r="Y123" s="7">
        <v>0</v>
      </c>
      <c r="Z123" s="7">
        <v>1</v>
      </c>
      <c r="AA123" s="7">
        <v>0</v>
      </c>
      <c r="AB123" s="7">
        <v>0</v>
      </c>
      <c r="AC123" s="7">
        <v>0</v>
      </c>
      <c r="AD123" s="7">
        <v>0</v>
      </c>
      <c r="AE123" s="7"/>
      <c r="AF123" s="6"/>
      <c r="AG123" s="6" t="s">
        <v>247</v>
      </c>
      <c r="AH123" s="16">
        <f t="shared" si="2"/>
        <v>1</v>
      </c>
      <c r="AI123" s="16">
        <f t="shared" si="3"/>
        <v>2</v>
      </c>
    </row>
    <row r="124" spans="1:35" ht="12.3">
      <c r="A124" s="6" t="s">
        <v>106</v>
      </c>
      <c r="B124" s="6" t="s">
        <v>108</v>
      </c>
      <c r="C124" s="7">
        <v>6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/>
      <c r="AF124" s="6"/>
      <c r="AG124" s="6" t="s">
        <v>249</v>
      </c>
      <c r="AH124" s="16">
        <f t="shared" si="2"/>
        <v>2</v>
      </c>
      <c r="AI124" s="16">
        <f t="shared" si="3"/>
        <v>4</v>
      </c>
    </row>
    <row r="125" spans="1:35" ht="12.3">
      <c r="A125" s="6" t="s">
        <v>109</v>
      </c>
      <c r="B125" s="6" t="s">
        <v>110</v>
      </c>
      <c r="C125" s="7">
        <v>20</v>
      </c>
      <c r="D125" s="7">
        <v>4</v>
      </c>
      <c r="E125" s="7">
        <v>4</v>
      </c>
      <c r="F125" s="7">
        <v>10</v>
      </c>
      <c r="G125" s="7">
        <v>4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4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6</v>
      </c>
      <c r="W125" s="7">
        <v>0</v>
      </c>
      <c r="X125" s="7">
        <v>0</v>
      </c>
      <c r="Y125" s="7">
        <v>0</v>
      </c>
      <c r="Z125" s="7">
        <v>6</v>
      </c>
      <c r="AA125" s="7">
        <v>0</v>
      </c>
      <c r="AB125" s="7">
        <v>0</v>
      </c>
      <c r="AC125" s="7">
        <v>0</v>
      </c>
      <c r="AD125" s="7">
        <v>0</v>
      </c>
      <c r="AE125" s="7"/>
      <c r="AF125" s="6"/>
      <c r="AG125" s="6" t="s">
        <v>252</v>
      </c>
      <c r="AH125" s="16">
        <f t="shared" si="2"/>
        <v>2</v>
      </c>
      <c r="AI125" s="16">
        <f t="shared" si="3"/>
        <v>4</v>
      </c>
    </row>
    <row r="126" spans="1:35" ht="12.3">
      <c r="A126" s="6" t="s">
        <v>109</v>
      </c>
      <c r="B126" s="6" t="s">
        <v>111</v>
      </c>
      <c r="C126" s="7">
        <v>20</v>
      </c>
      <c r="D126" s="7">
        <v>0</v>
      </c>
      <c r="E126" s="7">
        <v>4</v>
      </c>
      <c r="F126" s="7">
        <v>6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6</v>
      </c>
      <c r="W126" s="7">
        <v>0</v>
      </c>
      <c r="X126" s="7">
        <v>0</v>
      </c>
      <c r="Y126" s="7">
        <v>0</v>
      </c>
      <c r="Z126" s="7">
        <v>6</v>
      </c>
      <c r="AA126" s="7">
        <v>0</v>
      </c>
      <c r="AB126" s="7">
        <v>0</v>
      </c>
      <c r="AC126" s="7">
        <v>0</v>
      </c>
      <c r="AD126" s="7">
        <v>0</v>
      </c>
      <c r="AE126" s="7"/>
      <c r="AF126" s="6"/>
      <c r="AG126" s="6" t="s">
        <v>254</v>
      </c>
      <c r="AH126" s="16">
        <f t="shared" si="2"/>
        <v>1</v>
      </c>
      <c r="AI126" s="16">
        <f t="shared" si="3"/>
        <v>2</v>
      </c>
    </row>
    <row r="127" spans="1:35" ht="12.3">
      <c r="A127" s="6" t="s">
        <v>109</v>
      </c>
      <c r="B127" s="6" t="s">
        <v>112</v>
      </c>
      <c r="C127" s="7">
        <v>20</v>
      </c>
      <c r="D127" s="7">
        <v>0</v>
      </c>
      <c r="E127" s="7">
        <v>4</v>
      </c>
      <c r="F127" s="7">
        <v>6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6</v>
      </c>
      <c r="W127" s="7">
        <v>0</v>
      </c>
      <c r="X127" s="7">
        <v>0</v>
      </c>
      <c r="Y127" s="7">
        <v>0</v>
      </c>
      <c r="Z127" s="7">
        <v>6</v>
      </c>
      <c r="AA127" s="7">
        <v>0</v>
      </c>
      <c r="AB127" s="7">
        <v>0</v>
      </c>
      <c r="AC127" s="7">
        <v>0</v>
      </c>
      <c r="AD127" s="7">
        <v>0</v>
      </c>
      <c r="AE127" s="7"/>
      <c r="AF127" s="6"/>
      <c r="AG127" s="6" t="s">
        <v>256</v>
      </c>
      <c r="AH127" s="16">
        <f t="shared" si="2"/>
        <v>1</v>
      </c>
      <c r="AI127" s="16">
        <f t="shared" si="3"/>
        <v>2</v>
      </c>
    </row>
    <row r="128" spans="1:35" ht="12.3">
      <c r="A128" s="6" t="s">
        <v>109</v>
      </c>
      <c r="B128" s="6" t="s">
        <v>113</v>
      </c>
      <c r="C128" s="7">
        <v>20</v>
      </c>
      <c r="D128" s="7">
        <v>0</v>
      </c>
      <c r="E128" s="7">
        <v>4</v>
      </c>
      <c r="F128" s="7">
        <v>6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6</v>
      </c>
      <c r="W128" s="7">
        <v>0</v>
      </c>
      <c r="X128" s="7">
        <v>0</v>
      </c>
      <c r="Y128" s="7">
        <v>0</v>
      </c>
      <c r="Z128" s="7">
        <v>6</v>
      </c>
      <c r="AA128" s="7">
        <v>0</v>
      </c>
      <c r="AB128" s="7">
        <v>0</v>
      </c>
      <c r="AC128" s="7">
        <v>0</v>
      </c>
      <c r="AD128" s="7">
        <v>0</v>
      </c>
      <c r="AE128" s="7"/>
      <c r="AF128" s="6"/>
      <c r="AG128" s="6" t="s">
        <v>258</v>
      </c>
      <c r="AH128" s="16">
        <f t="shared" si="2"/>
        <v>1</v>
      </c>
      <c r="AI128" s="16">
        <f t="shared" si="3"/>
        <v>2</v>
      </c>
    </row>
    <row r="129" spans="1:35" ht="12.3">
      <c r="A129" s="6" t="s">
        <v>109</v>
      </c>
      <c r="B129" s="6" t="s">
        <v>114</v>
      </c>
      <c r="C129" s="7">
        <v>20</v>
      </c>
      <c r="D129" s="7">
        <v>0</v>
      </c>
      <c r="E129" s="7">
        <v>3</v>
      </c>
      <c r="F129" s="7">
        <v>6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6</v>
      </c>
      <c r="W129" s="7">
        <v>0</v>
      </c>
      <c r="X129" s="7">
        <v>0</v>
      </c>
      <c r="Y129" s="7">
        <v>0</v>
      </c>
      <c r="Z129" s="7">
        <v>6</v>
      </c>
      <c r="AA129" s="7">
        <v>0</v>
      </c>
      <c r="AB129" s="7">
        <v>0</v>
      </c>
      <c r="AC129" s="7">
        <v>0</v>
      </c>
      <c r="AD129" s="7">
        <v>0</v>
      </c>
      <c r="AE129" s="7"/>
      <c r="AF129" s="6"/>
      <c r="AG129" s="6" t="s">
        <v>259</v>
      </c>
      <c r="AH129" s="16">
        <f t="shared" si="2"/>
        <v>1</v>
      </c>
      <c r="AI129" s="16">
        <f t="shared" si="3"/>
        <v>2</v>
      </c>
    </row>
    <row r="130" spans="1:35" ht="12.3">
      <c r="A130" s="6" t="s">
        <v>115</v>
      </c>
      <c r="B130" s="6" t="s">
        <v>116</v>
      </c>
      <c r="C130" s="7">
        <v>6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/>
      <c r="AF130" s="6"/>
      <c r="AG130" s="6" t="s">
        <v>260</v>
      </c>
      <c r="AH130" s="16">
        <f t="shared" si="2"/>
        <v>2</v>
      </c>
      <c r="AI130" s="16">
        <f t="shared" si="3"/>
        <v>4</v>
      </c>
    </row>
    <row r="131" spans="1:35" ht="12.3">
      <c r="A131" s="6" t="s">
        <v>115</v>
      </c>
      <c r="B131" s="6" t="s">
        <v>112</v>
      </c>
      <c r="C131" s="7">
        <v>8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/>
      <c r="AF131" s="6"/>
      <c r="AG131" s="6" t="s">
        <v>263</v>
      </c>
      <c r="AH131" s="16">
        <f t="shared" ref="AH131:AH194" si="4">COUNTIF($A$3:$A$786,AG131)</f>
        <v>15</v>
      </c>
      <c r="AI131" s="16">
        <f t="shared" ref="AI131:AI194" si="5">AH131*2</f>
        <v>30</v>
      </c>
    </row>
    <row r="132" spans="1:35" ht="12.3">
      <c r="A132" s="6" t="s">
        <v>115</v>
      </c>
      <c r="B132" s="6" t="s">
        <v>105</v>
      </c>
      <c r="C132" s="7">
        <v>8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/>
      <c r="AF132" s="6"/>
      <c r="AG132" s="6" t="s">
        <v>274</v>
      </c>
      <c r="AH132" s="16">
        <f t="shared" si="4"/>
        <v>8</v>
      </c>
      <c r="AI132" s="16">
        <f t="shared" si="5"/>
        <v>16</v>
      </c>
    </row>
    <row r="133" spans="1:35" ht="12.3">
      <c r="A133" s="6" t="s">
        <v>115</v>
      </c>
      <c r="B133" s="6" t="s">
        <v>117</v>
      </c>
      <c r="C133" s="7">
        <v>8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/>
      <c r="AF133" s="6"/>
      <c r="AG133" s="6" t="s">
        <v>275</v>
      </c>
      <c r="AH133" s="16">
        <f t="shared" si="4"/>
        <v>11</v>
      </c>
      <c r="AI133" s="16">
        <f t="shared" si="5"/>
        <v>22</v>
      </c>
    </row>
    <row r="134" spans="1:35" ht="12.3">
      <c r="A134" s="6" t="s">
        <v>115</v>
      </c>
      <c r="B134" s="6" t="s">
        <v>118</v>
      </c>
      <c r="C134" s="7">
        <v>8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1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/>
      <c r="AF134" s="6"/>
      <c r="AG134" s="6" t="s">
        <v>276</v>
      </c>
      <c r="AH134" s="16">
        <f t="shared" si="4"/>
        <v>7</v>
      </c>
      <c r="AI134" s="16">
        <f t="shared" si="5"/>
        <v>14</v>
      </c>
    </row>
    <row r="135" spans="1:35" ht="12.3">
      <c r="A135" s="6" t="s">
        <v>119</v>
      </c>
      <c r="B135" s="6" t="s">
        <v>120</v>
      </c>
      <c r="C135" s="7">
        <v>2</v>
      </c>
      <c r="D135" s="7">
        <v>1</v>
      </c>
      <c r="E135" s="7">
        <v>0</v>
      </c>
      <c r="F135" s="7">
        <v>1</v>
      </c>
      <c r="G135" s="7">
        <v>1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/>
      <c r="AF135" s="6"/>
      <c r="AG135" s="6" t="s">
        <v>277</v>
      </c>
      <c r="AH135" s="16">
        <f t="shared" si="4"/>
        <v>3</v>
      </c>
      <c r="AI135" s="16">
        <f t="shared" si="5"/>
        <v>6</v>
      </c>
    </row>
    <row r="136" spans="1:35" ht="12.3">
      <c r="A136" s="6" t="s">
        <v>121</v>
      </c>
      <c r="B136" s="6" t="s">
        <v>122</v>
      </c>
      <c r="C136" s="7">
        <v>39</v>
      </c>
      <c r="D136" s="7">
        <v>1</v>
      </c>
      <c r="E136" s="7">
        <v>3</v>
      </c>
      <c r="F136" s="7">
        <v>7</v>
      </c>
      <c r="G136" s="7">
        <v>1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1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6</v>
      </c>
      <c r="W136" s="7">
        <v>0</v>
      </c>
      <c r="X136" s="7">
        <v>0</v>
      </c>
      <c r="Y136" s="7">
        <v>0</v>
      </c>
      <c r="Z136" s="7">
        <v>3</v>
      </c>
      <c r="AA136" s="7">
        <v>3</v>
      </c>
      <c r="AB136" s="7">
        <v>0</v>
      </c>
      <c r="AC136" s="7">
        <v>0</v>
      </c>
      <c r="AD136" s="7">
        <v>0</v>
      </c>
      <c r="AE136" s="7"/>
      <c r="AF136" s="6"/>
      <c r="AG136" s="6" t="s">
        <v>278</v>
      </c>
      <c r="AH136" s="16">
        <f t="shared" si="4"/>
        <v>21</v>
      </c>
      <c r="AI136" s="16">
        <f t="shared" si="5"/>
        <v>42</v>
      </c>
    </row>
    <row r="137" spans="1:35" ht="12.3">
      <c r="A137" s="6" t="s">
        <v>123</v>
      </c>
      <c r="B137" s="6" t="s">
        <v>124</v>
      </c>
      <c r="C137" s="7">
        <v>14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/>
      <c r="AF137" s="6"/>
      <c r="AG137" s="6" t="s">
        <v>285</v>
      </c>
      <c r="AH137" s="16">
        <f t="shared" si="4"/>
        <v>6</v>
      </c>
      <c r="AI137" s="16">
        <f t="shared" si="5"/>
        <v>12</v>
      </c>
    </row>
    <row r="138" spans="1:35" ht="12.3">
      <c r="A138" s="6" t="s">
        <v>123</v>
      </c>
      <c r="B138" s="6" t="s">
        <v>112</v>
      </c>
      <c r="C138" s="7">
        <v>16</v>
      </c>
      <c r="D138" s="7">
        <v>0</v>
      </c>
      <c r="E138" s="7">
        <v>4</v>
      </c>
      <c r="F138" s="7">
        <v>5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5</v>
      </c>
      <c r="W138" s="7">
        <v>0</v>
      </c>
      <c r="X138" s="7">
        <v>0</v>
      </c>
      <c r="Y138" s="7">
        <v>0</v>
      </c>
      <c r="Z138" s="7">
        <v>3</v>
      </c>
      <c r="AA138" s="7">
        <v>2</v>
      </c>
      <c r="AB138" s="7">
        <v>0</v>
      </c>
      <c r="AC138" s="7">
        <v>0</v>
      </c>
      <c r="AD138" s="7">
        <v>0</v>
      </c>
      <c r="AE138" s="7"/>
      <c r="AF138" s="6"/>
      <c r="AG138" s="6" t="s">
        <v>286</v>
      </c>
      <c r="AH138" s="16">
        <f t="shared" si="4"/>
        <v>11</v>
      </c>
      <c r="AI138" s="16">
        <f t="shared" si="5"/>
        <v>22</v>
      </c>
    </row>
    <row r="139" spans="1:35" ht="12.3">
      <c r="A139" s="6" t="s">
        <v>123</v>
      </c>
      <c r="B139" s="6" t="s">
        <v>125</v>
      </c>
      <c r="C139" s="7">
        <v>18</v>
      </c>
      <c r="D139" s="7">
        <v>0</v>
      </c>
      <c r="E139" s="7">
        <v>2</v>
      </c>
      <c r="F139" s="7">
        <v>3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3</v>
      </c>
      <c r="W139" s="7">
        <v>0</v>
      </c>
      <c r="X139" s="7">
        <v>0</v>
      </c>
      <c r="Y139" s="7">
        <v>0</v>
      </c>
      <c r="Z139" s="7">
        <v>3</v>
      </c>
      <c r="AA139" s="7">
        <v>0</v>
      </c>
      <c r="AB139" s="7">
        <v>0</v>
      </c>
      <c r="AC139" s="7">
        <v>0</v>
      </c>
      <c r="AD139" s="7">
        <v>0</v>
      </c>
      <c r="AE139" s="7"/>
      <c r="AF139" s="6"/>
      <c r="AG139" s="6" t="s">
        <v>287</v>
      </c>
      <c r="AH139" s="16">
        <f t="shared" si="4"/>
        <v>17</v>
      </c>
      <c r="AI139" s="16">
        <f t="shared" si="5"/>
        <v>34</v>
      </c>
    </row>
    <row r="140" spans="1:35" ht="12.3">
      <c r="A140" s="6" t="s">
        <v>126</v>
      </c>
      <c r="B140" s="6" t="s">
        <v>127</v>
      </c>
      <c r="C140" s="7">
        <v>18</v>
      </c>
      <c r="D140" s="7">
        <v>0</v>
      </c>
      <c r="E140" s="7">
        <v>3</v>
      </c>
      <c r="F140" s="7">
        <v>4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4</v>
      </c>
      <c r="W140" s="7">
        <v>0</v>
      </c>
      <c r="X140" s="7">
        <v>0</v>
      </c>
      <c r="Y140" s="7">
        <v>0</v>
      </c>
      <c r="Z140" s="7">
        <v>4</v>
      </c>
      <c r="AA140" s="7">
        <v>0</v>
      </c>
      <c r="AB140" s="7">
        <v>0</v>
      </c>
      <c r="AC140" s="7">
        <v>0</v>
      </c>
      <c r="AD140" s="7">
        <v>0</v>
      </c>
      <c r="AE140" s="7"/>
      <c r="AF140" s="6"/>
      <c r="AG140" s="6" t="s">
        <v>288</v>
      </c>
      <c r="AH140" s="16">
        <f t="shared" si="4"/>
        <v>17</v>
      </c>
      <c r="AI140" s="16">
        <f t="shared" si="5"/>
        <v>34</v>
      </c>
    </row>
    <row r="141" spans="1:35" ht="12.3">
      <c r="A141" s="6" t="s">
        <v>128</v>
      </c>
      <c r="B141" s="6" t="s">
        <v>107</v>
      </c>
      <c r="C141" s="7">
        <v>6</v>
      </c>
      <c r="D141" s="7">
        <v>0</v>
      </c>
      <c r="E141" s="7">
        <v>1</v>
      </c>
      <c r="F141" s="7">
        <v>1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1</v>
      </c>
      <c r="W141" s="7">
        <v>0</v>
      </c>
      <c r="X141" s="7">
        <v>0</v>
      </c>
      <c r="Y141" s="7">
        <v>0</v>
      </c>
      <c r="Z141" s="7">
        <v>1</v>
      </c>
      <c r="AA141" s="7">
        <v>0</v>
      </c>
      <c r="AB141" s="7">
        <v>0</v>
      </c>
      <c r="AC141" s="7">
        <v>0</v>
      </c>
      <c r="AD141" s="7">
        <v>0</v>
      </c>
      <c r="AE141" s="7"/>
      <c r="AF141" s="6"/>
      <c r="AG141" s="6" t="s">
        <v>290</v>
      </c>
      <c r="AH141" s="16">
        <f t="shared" si="4"/>
        <v>11</v>
      </c>
      <c r="AI141" s="16">
        <f t="shared" si="5"/>
        <v>22</v>
      </c>
    </row>
    <row r="142" spans="1:35" ht="12.3">
      <c r="A142" s="6" t="s">
        <v>128</v>
      </c>
      <c r="B142" s="6" t="s">
        <v>108</v>
      </c>
      <c r="C142" s="7">
        <v>6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/>
      <c r="AF142" s="6"/>
      <c r="AG142" s="6" t="s">
        <v>291</v>
      </c>
      <c r="AH142" s="16">
        <f t="shared" si="4"/>
        <v>8</v>
      </c>
      <c r="AI142" s="16">
        <f t="shared" si="5"/>
        <v>16</v>
      </c>
    </row>
    <row r="143" spans="1:35" ht="12.3">
      <c r="A143" s="6" t="s">
        <v>128</v>
      </c>
      <c r="B143" s="6" t="s">
        <v>129</v>
      </c>
      <c r="C143" s="7">
        <v>6</v>
      </c>
      <c r="D143" s="7">
        <v>2</v>
      </c>
      <c r="E143" s="7">
        <v>1</v>
      </c>
      <c r="F143" s="7">
        <v>5</v>
      </c>
      <c r="G143" s="7">
        <v>4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7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1</v>
      </c>
      <c r="W143" s="7">
        <v>0</v>
      </c>
      <c r="X143" s="7">
        <v>0</v>
      </c>
      <c r="Y143" s="7">
        <v>0</v>
      </c>
      <c r="Z143" s="7">
        <v>1</v>
      </c>
      <c r="AA143" s="7">
        <v>0</v>
      </c>
      <c r="AB143" s="7">
        <v>0</v>
      </c>
      <c r="AC143" s="7">
        <v>0</v>
      </c>
      <c r="AD143" s="7">
        <v>0</v>
      </c>
      <c r="AE143" s="7"/>
      <c r="AF143" s="6"/>
      <c r="AG143" s="6" t="s">
        <v>292</v>
      </c>
      <c r="AH143" s="16">
        <f t="shared" si="4"/>
        <v>8</v>
      </c>
      <c r="AI143" s="16">
        <f t="shared" si="5"/>
        <v>16</v>
      </c>
    </row>
    <row r="144" spans="1:35" ht="12.3">
      <c r="A144" s="6" t="s">
        <v>130</v>
      </c>
      <c r="B144" s="6" t="s">
        <v>131</v>
      </c>
      <c r="C144" s="7">
        <v>2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/>
      <c r="AF144" s="6"/>
      <c r="AG144" s="6" t="s">
        <v>293</v>
      </c>
      <c r="AH144" s="16">
        <f t="shared" si="4"/>
        <v>2</v>
      </c>
      <c r="AI144" s="16">
        <f t="shared" si="5"/>
        <v>4</v>
      </c>
    </row>
    <row r="145" spans="1:35" ht="12.3">
      <c r="A145" s="6" t="s">
        <v>130</v>
      </c>
      <c r="B145" s="6" t="s">
        <v>132</v>
      </c>
      <c r="C145" s="7">
        <v>2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/>
      <c r="AF145" s="6"/>
      <c r="AG145" s="6" t="s">
        <v>294</v>
      </c>
      <c r="AH145" s="16">
        <f t="shared" si="4"/>
        <v>4</v>
      </c>
      <c r="AI145" s="16">
        <f t="shared" si="5"/>
        <v>8</v>
      </c>
    </row>
    <row r="146" spans="1:35" ht="12.3">
      <c r="A146" s="6" t="s">
        <v>130</v>
      </c>
      <c r="B146" s="6" t="s">
        <v>133</v>
      </c>
      <c r="C146" s="7">
        <v>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F146" s="6"/>
      <c r="AG146" s="6" t="s">
        <v>295</v>
      </c>
      <c r="AH146" s="16">
        <f t="shared" si="4"/>
        <v>1</v>
      </c>
      <c r="AI146" s="16">
        <f t="shared" si="5"/>
        <v>2</v>
      </c>
    </row>
    <row r="147" spans="1:35" ht="12.3">
      <c r="A147" s="6" t="s">
        <v>134</v>
      </c>
      <c r="B147" s="6" t="s">
        <v>135</v>
      </c>
      <c r="C147" s="7">
        <v>20</v>
      </c>
      <c r="D147" s="7">
        <v>0</v>
      </c>
      <c r="E147" s="7">
        <v>3</v>
      </c>
      <c r="F147" s="7">
        <v>6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6</v>
      </c>
      <c r="W147" s="7">
        <v>0</v>
      </c>
      <c r="X147" s="7">
        <v>0</v>
      </c>
      <c r="Y147" s="7">
        <v>0</v>
      </c>
      <c r="Z147" s="7">
        <v>4</v>
      </c>
      <c r="AA147" s="7">
        <v>2</v>
      </c>
      <c r="AB147" s="7">
        <v>0</v>
      </c>
      <c r="AC147" s="7">
        <v>0</v>
      </c>
      <c r="AD147" s="7">
        <v>0</v>
      </c>
      <c r="AF147" s="6"/>
      <c r="AG147" s="6" t="s">
        <v>297</v>
      </c>
      <c r="AH147" s="16">
        <f t="shared" si="4"/>
        <v>20</v>
      </c>
      <c r="AI147" s="16">
        <f t="shared" si="5"/>
        <v>40</v>
      </c>
    </row>
    <row r="148" spans="1:35" ht="12.3">
      <c r="A148" s="6" t="s">
        <v>134</v>
      </c>
      <c r="B148" s="6" t="s">
        <v>136</v>
      </c>
      <c r="C148" s="7">
        <v>32</v>
      </c>
      <c r="D148" s="7">
        <v>0</v>
      </c>
      <c r="E148" s="7">
        <v>4</v>
      </c>
      <c r="F148" s="7">
        <v>5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5</v>
      </c>
      <c r="W148" s="7">
        <v>0</v>
      </c>
      <c r="X148" s="7">
        <v>0</v>
      </c>
      <c r="Y148" s="7">
        <v>0</v>
      </c>
      <c r="Z148" s="7">
        <v>5</v>
      </c>
      <c r="AA148" s="7">
        <v>0</v>
      </c>
      <c r="AB148" s="7">
        <v>0</v>
      </c>
      <c r="AC148" s="7">
        <v>0</v>
      </c>
      <c r="AD148" s="7">
        <v>0</v>
      </c>
      <c r="AF148" s="6"/>
      <c r="AG148" s="6" t="s">
        <v>298</v>
      </c>
      <c r="AH148" s="16">
        <f t="shared" si="4"/>
        <v>4</v>
      </c>
      <c r="AI148" s="16">
        <f t="shared" si="5"/>
        <v>8</v>
      </c>
    </row>
    <row r="149" spans="1:35" ht="12.3">
      <c r="A149" s="6" t="s">
        <v>134</v>
      </c>
      <c r="B149" s="6" t="s">
        <v>137</v>
      </c>
      <c r="C149" s="7">
        <v>32</v>
      </c>
      <c r="D149" s="7">
        <v>0</v>
      </c>
      <c r="E149" s="7">
        <v>4</v>
      </c>
      <c r="F149" s="7">
        <v>5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5</v>
      </c>
      <c r="W149" s="7">
        <v>0</v>
      </c>
      <c r="X149" s="7">
        <v>0</v>
      </c>
      <c r="Y149" s="7">
        <v>0</v>
      </c>
      <c r="Z149" s="7">
        <v>5</v>
      </c>
      <c r="AA149" s="7">
        <v>0</v>
      </c>
      <c r="AB149" s="7">
        <v>0</v>
      </c>
      <c r="AC149" s="7">
        <v>0</v>
      </c>
      <c r="AD149" s="7">
        <v>0</v>
      </c>
      <c r="AF149" s="6"/>
      <c r="AG149" s="6" t="s">
        <v>299</v>
      </c>
      <c r="AH149" s="16">
        <f t="shared" si="4"/>
        <v>8</v>
      </c>
      <c r="AI149" s="16">
        <f t="shared" si="5"/>
        <v>16</v>
      </c>
    </row>
    <row r="150" spans="1:35" ht="12.3">
      <c r="A150" s="6" t="s">
        <v>138</v>
      </c>
      <c r="B150" s="6" t="s">
        <v>139</v>
      </c>
      <c r="C150" s="7">
        <v>6</v>
      </c>
      <c r="D150" s="7">
        <v>0</v>
      </c>
      <c r="E150" s="7">
        <v>1</v>
      </c>
      <c r="F150" s="7">
        <v>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2</v>
      </c>
      <c r="W150" s="7">
        <v>0</v>
      </c>
      <c r="X150" s="7">
        <v>0</v>
      </c>
      <c r="Y150" s="7">
        <v>0</v>
      </c>
      <c r="Z150" s="7">
        <v>2</v>
      </c>
      <c r="AA150" s="7">
        <v>0</v>
      </c>
      <c r="AB150" s="7">
        <v>0</v>
      </c>
      <c r="AC150" s="7">
        <v>0</v>
      </c>
      <c r="AD150" s="7">
        <v>0</v>
      </c>
      <c r="AF150" s="6"/>
      <c r="AG150" s="6" t="s">
        <v>300</v>
      </c>
      <c r="AH150" s="16">
        <f t="shared" si="4"/>
        <v>8</v>
      </c>
      <c r="AI150" s="16">
        <f t="shared" si="5"/>
        <v>16</v>
      </c>
    </row>
    <row r="151" spans="1:35" ht="12.3">
      <c r="A151" s="6" t="s">
        <v>138</v>
      </c>
      <c r="B151" s="6" t="s">
        <v>140</v>
      </c>
      <c r="C151" s="7">
        <v>6</v>
      </c>
      <c r="D151" s="7">
        <v>0</v>
      </c>
      <c r="E151" s="7">
        <v>1</v>
      </c>
      <c r="F151" s="7">
        <v>2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2</v>
      </c>
      <c r="W151" s="7">
        <v>0</v>
      </c>
      <c r="X151" s="7">
        <v>0</v>
      </c>
      <c r="Y151" s="7">
        <v>0</v>
      </c>
      <c r="Z151" s="7">
        <v>2</v>
      </c>
      <c r="AA151" s="7">
        <v>0</v>
      </c>
      <c r="AB151" s="7">
        <v>0</v>
      </c>
      <c r="AC151" s="7">
        <v>0</v>
      </c>
      <c r="AD151" s="7">
        <v>0</v>
      </c>
      <c r="AF151" s="6"/>
      <c r="AG151" s="6" t="s">
        <v>301</v>
      </c>
      <c r="AH151" s="16">
        <f t="shared" si="4"/>
        <v>19</v>
      </c>
      <c r="AI151" s="16">
        <f t="shared" si="5"/>
        <v>38</v>
      </c>
    </row>
    <row r="152" spans="1:35" ht="12.3">
      <c r="A152" s="6" t="s">
        <v>141</v>
      </c>
      <c r="B152" s="6" t="s">
        <v>107</v>
      </c>
      <c r="C152" s="7">
        <v>6</v>
      </c>
      <c r="D152" s="7">
        <v>0</v>
      </c>
      <c r="E152" s="7">
        <v>1</v>
      </c>
      <c r="F152" s="7">
        <v>1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1</v>
      </c>
      <c r="W152" s="7">
        <v>0</v>
      </c>
      <c r="X152" s="7">
        <v>0</v>
      </c>
      <c r="Y152" s="7">
        <v>0</v>
      </c>
      <c r="Z152" s="7">
        <v>1</v>
      </c>
      <c r="AA152" s="7">
        <v>0</v>
      </c>
      <c r="AB152" s="7">
        <v>0</v>
      </c>
      <c r="AC152" s="7">
        <v>0</v>
      </c>
      <c r="AD152" s="7">
        <v>0</v>
      </c>
      <c r="AF152" s="6"/>
      <c r="AG152" s="6" t="s">
        <v>302</v>
      </c>
      <c r="AH152" s="16">
        <f t="shared" si="4"/>
        <v>18</v>
      </c>
      <c r="AI152" s="16">
        <f t="shared" si="5"/>
        <v>36</v>
      </c>
    </row>
    <row r="153" spans="1:35" ht="12.3">
      <c r="A153" s="6" t="s">
        <v>141</v>
      </c>
      <c r="B153" s="6" t="s">
        <v>108</v>
      </c>
      <c r="C153" s="7">
        <v>6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F153" s="6"/>
      <c r="AG153" s="6" t="s">
        <v>304</v>
      </c>
      <c r="AH153" s="16">
        <f t="shared" si="4"/>
        <v>15</v>
      </c>
      <c r="AI153" s="16">
        <f t="shared" si="5"/>
        <v>30</v>
      </c>
    </row>
    <row r="154" spans="1:35" ht="12.3">
      <c r="A154" s="6" t="s">
        <v>141</v>
      </c>
      <c r="B154" s="6" t="s">
        <v>129</v>
      </c>
      <c r="C154" s="7">
        <v>6</v>
      </c>
      <c r="D154" s="7">
        <v>2</v>
      </c>
      <c r="E154" s="7">
        <v>1</v>
      </c>
      <c r="F154" s="7">
        <v>5</v>
      </c>
      <c r="G154" s="7">
        <v>4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4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1</v>
      </c>
      <c r="W154" s="7">
        <v>0</v>
      </c>
      <c r="X154" s="7">
        <v>0</v>
      </c>
      <c r="Y154" s="7">
        <v>0</v>
      </c>
      <c r="Z154" s="7">
        <v>1</v>
      </c>
      <c r="AA154" s="7">
        <v>0</v>
      </c>
      <c r="AB154" s="7">
        <v>0</v>
      </c>
      <c r="AC154" s="7">
        <v>0</v>
      </c>
      <c r="AD154" s="7">
        <v>0</v>
      </c>
      <c r="AF154" s="6"/>
      <c r="AG154" s="6" t="s">
        <v>305</v>
      </c>
      <c r="AH154" s="16">
        <f t="shared" si="4"/>
        <v>3</v>
      </c>
      <c r="AI154" s="16">
        <f t="shared" si="5"/>
        <v>6</v>
      </c>
    </row>
    <row r="155" spans="1:35" ht="12.3">
      <c r="A155" s="6" t="s">
        <v>142</v>
      </c>
      <c r="B155" s="6" t="s">
        <v>135</v>
      </c>
      <c r="C155" s="7">
        <v>20</v>
      </c>
      <c r="D155" s="7">
        <v>0</v>
      </c>
      <c r="E155" s="7">
        <v>3</v>
      </c>
      <c r="F155" s="7">
        <v>6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6</v>
      </c>
      <c r="W155" s="7">
        <v>0</v>
      </c>
      <c r="X155" s="7">
        <v>0</v>
      </c>
      <c r="Y155" s="7">
        <v>0</v>
      </c>
      <c r="Z155" s="7">
        <v>4</v>
      </c>
      <c r="AA155" s="7">
        <v>2</v>
      </c>
      <c r="AB155" s="7">
        <v>0</v>
      </c>
      <c r="AC155" s="7">
        <v>0</v>
      </c>
      <c r="AD155" s="7">
        <v>0</v>
      </c>
      <c r="AF155" s="6"/>
      <c r="AG155" s="6" t="s">
        <v>306</v>
      </c>
      <c r="AH155" s="16">
        <f t="shared" si="4"/>
        <v>3</v>
      </c>
      <c r="AI155" s="16">
        <f t="shared" si="5"/>
        <v>6</v>
      </c>
    </row>
    <row r="156" spans="1:35" ht="12.3">
      <c r="A156" s="6" t="s">
        <v>143</v>
      </c>
      <c r="B156" s="6" t="s">
        <v>144</v>
      </c>
      <c r="C156" s="7">
        <v>116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F156" s="6"/>
      <c r="AG156" s="6" t="s">
        <v>307</v>
      </c>
      <c r="AH156" s="16">
        <f t="shared" si="4"/>
        <v>21</v>
      </c>
      <c r="AI156" s="16">
        <f t="shared" si="5"/>
        <v>42</v>
      </c>
    </row>
    <row r="157" spans="1:35" ht="12.3">
      <c r="A157" s="6" t="s">
        <v>143</v>
      </c>
      <c r="B157" s="6" t="s">
        <v>145</v>
      </c>
      <c r="C157" s="7">
        <v>116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F157" s="6"/>
      <c r="AG157" s="6" t="s">
        <v>308</v>
      </c>
      <c r="AH157" s="16">
        <f t="shared" si="4"/>
        <v>9</v>
      </c>
      <c r="AI157" s="16">
        <f t="shared" si="5"/>
        <v>18</v>
      </c>
    </row>
    <row r="158" spans="1:35" ht="12.3">
      <c r="A158" s="6" t="s">
        <v>143</v>
      </c>
      <c r="B158" s="6" t="s">
        <v>146</v>
      </c>
      <c r="C158" s="7">
        <v>116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F158" s="6"/>
      <c r="AG158" s="6" t="s">
        <v>309</v>
      </c>
      <c r="AH158" s="16">
        <f t="shared" si="4"/>
        <v>19</v>
      </c>
      <c r="AI158" s="16">
        <f t="shared" si="5"/>
        <v>38</v>
      </c>
    </row>
    <row r="159" spans="1:35" ht="12.3">
      <c r="A159" s="6" t="s">
        <v>143</v>
      </c>
      <c r="B159" s="6" t="s">
        <v>147</v>
      </c>
      <c r="C159" s="7">
        <v>116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F159" s="6"/>
      <c r="AG159" s="6" t="s">
        <v>310</v>
      </c>
      <c r="AH159" s="16">
        <f t="shared" si="4"/>
        <v>20</v>
      </c>
      <c r="AI159" s="16">
        <f t="shared" si="5"/>
        <v>40</v>
      </c>
    </row>
    <row r="160" spans="1:35" ht="12.3">
      <c r="A160" s="6" t="s">
        <v>143</v>
      </c>
      <c r="B160" s="6" t="s">
        <v>148</v>
      </c>
      <c r="C160" s="7">
        <v>128</v>
      </c>
      <c r="D160" s="7">
        <v>0</v>
      </c>
      <c r="E160" s="7">
        <v>26</v>
      </c>
      <c r="F160" s="7">
        <v>27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27</v>
      </c>
      <c r="W160" s="7">
        <v>0</v>
      </c>
      <c r="X160" s="7">
        <v>0</v>
      </c>
      <c r="Y160" s="7">
        <v>0</v>
      </c>
      <c r="Z160" s="7">
        <v>27</v>
      </c>
      <c r="AA160" s="7">
        <v>0</v>
      </c>
      <c r="AB160" s="7">
        <v>0</v>
      </c>
      <c r="AC160" s="7">
        <v>0</v>
      </c>
      <c r="AD160" s="7">
        <v>0</v>
      </c>
      <c r="AF160" s="6"/>
      <c r="AG160" s="6" t="s">
        <v>311</v>
      </c>
      <c r="AH160" s="16">
        <f t="shared" si="4"/>
        <v>19</v>
      </c>
      <c r="AI160" s="16">
        <f t="shared" si="5"/>
        <v>38</v>
      </c>
    </row>
    <row r="161" spans="1:35" ht="12.3">
      <c r="A161" s="6" t="s">
        <v>149</v>
      </c>
      <c r="B161" s="6" t="s">
        <v>150</v>
      </c>
      <c r="C161" s="7">
        <v>14</v>
      </c>
      <c r="D161" s="7">
        <v>0</v>
      </c>
      <c r="E161" s="7">
        <v>2</v>
      </c>
      <c r="F161" s="7">
        <v>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2</v>
      </c>
      <c r="W161" s="7">
        <v>0</v>
      </c>
      <c r="X161" s="7">
        <v>0</v>
      </c>
      <c r="Y161" s="7">
        <v>0</v>
      </c>
      <c r="Z161" s="7">
        <v>2</v>
      </c>
      <c r="AA161" s="7">
        <v>0</v>
      </c>
      <c r="AB161" s="7">
        <v>0</v>
      </c>
      <c r="AC161" s="7">
        <v>0</v>
      </c>
      <c r="AD161" s="7">
        <v>0</v>
      </c>
      <c r="AF161" s="6"/>
      <c r="AG161" s="6" t="s">
        <v>312</v>
      </c>
      <c r="AH161" s="16">
        <f t="shared" si="4"/>
        <v>9</v>
      </c>
      <c r="AI161" s="16">
        <f t="shared" si="5"/>
        <v>18</v>
      </c>
    </row>
    <row r="162" spans="1:35" ht="12.3">
      <c r="A162" s="6" t="s">
        <v>149</v>
      </c>
      <c r="B162" s="6" t="s">
        <v>136</v>
      </c>
      <c r="C162" s="7">
        <v>14</v>
      </c>
      <c r="D162" s="7">
        <v>0</v>
      </c>
      <c r="E162" s="7">
        <v>2</v>
      </c>
      <c r="F162" s="7">
        <v>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2</v>
      </c>
      <c r="W162" s="7">
        <v>0</v>
      </c>
      <c r="X162" s="7">
        <v>0</v>
      </c>
      <c r="Y162" s="7">
        <v>0</v>
      </c>
      <c r="Z162" s="7">
        <v>2</v>
      </c>
      <c r="AA162" s="7">
        <v>0</v>
      </c>
      <c r="AB162" s="7">
        <v>0</v>
      </c>
      <c r="AC162" s="7">
        <v>0</v>
      </c>
      <c r="AD162" s="7">
        <v>0</v>
      </c>
      <c r="AF162" s="6"/>
      <c r="AG162" s="6" t="s">
        <v>313</v>
      </c>
      <c r="AH162" s="16">
        <f t="shared" si="4"/>
        <v>3</v>
      </c>
      <c r="AI162" s="16">
        <f t="shared" si="5"/>
        <v>6</v>
      </c>
    </row>
    <row r="163" spans="1:35" ht="12.3">
      <c r="A163" s="6" t="s">
        <v>151</v>
      </c>
      <c r="B163" s="6" t="s">
        <v>152</v>
      </c>
      <c r="C163" s="7">
        <v>12</v>
      </c>
      <c r="D163" s="7">
        <v>0</v>
      </c>
      <c r="E163" s="7">
        <v>4</v>
      </c>
      <c r="F163" s="7">
        <v>4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4</v>
      </c>
      <c r="W163" s="7">
        <v>0</v>
      </c>
      <c r="X163" s="7">
        <v>0</v>
      </c>
      <c r="Y163" s="7">
        <v>0</v>
      </c>
      <c r="Z163" s="7">
        <v>4</v>
      </c>
      <c r="AA163" s="7">
        <v>0</v>
      </c>
      <c r="AB163" s="7">
        <v>0</v>
      </c>
      <c r="AC163" s="7">
        <v>0</v>
      </c>
      <c r="AD163" s="7">
        <v>0</v>
      </c>
      <c r="AF163" s="6"/>
      <c r="AG163" s="6" t="s">
        <v>314</v>
      </c>
      <c r="AH163" s="16">
        <f t="shared" si="4"/>
        <v>21</v>
      </c>
      <c r="AI163" s="16">
        <f t="shared" si="5"/>
        <v>42</v>
      </c>
    </row>
    <row r="164" spans="1:35" ht="12.3">
      <c r="A164" s="6" t="s">
        <v>153</v>
      </c>
      <c r="B164" s="6" t="s">
        <v>154</v>
      </c>
      <c r="C164" s="7">
        <v>66</v>
      </c>
      <c r="D164" s="7">
        <v>0</v>
      </c>
      <c r="E164" s="7">
        <v>13</v>
      </c>
      <c r="F164" s="7">
        <v>14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14</v>
      </c>
      <c r="W164" s="7">
        <v>0</v>
      </c>
      <c r="X164" s="7">
        <v>0</v>
      </c>
      <c r="Y164" s="7">
        <v>0</v>
      </c>
      <c r="Z164" s="7">
        <v>14</v>
      </c>
      <c r="AA164" s="7">
        <v>0</v>
      </c>
      <c r="AB164" s="7">
        <v>0</v>
      </c>
      <c r="AC164" s="7">
        <v>0</v>
      </c>
      <c r="AD164" s="7">
        <v>0</v>
      </c>
      <c r="AF164" s="6"/>
      <c r="AG164" s="6" t="s">
        <v>315</v>
      </c>
      <c r="AH164" s="16">
        <f t="shared" si="4"/>
        <v>18</v>
      </c>
      <c r="AI164" s="16">
        <f t="shared" si="5"/>
        <v>36</v>
      </c>
    </row>
    <row r="165" spans="1:35" ht="12.3">
      <c r="A165" s="6" t="s">
        <v>155</v>
      </c>
      <c r="B165" s="6" t="s">
        <v>156</v>
      </c>
      <c r="C165" s="7">
        <v>26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F165" s="6"/>
      <c r="AG165" s="6" t="s">
        <v>316</v>
      </c>
      <c r="AH165" s="16">
        <f t="shared" si="4"/>
        <v>16</v>
      </c>
      <c r="AI165" s="16">
        <f t="shared" si="5"/>
        <v>32</v>
      </c>
    </row>
    <row r="166" spans="1:35" ht="12.3">
      <c r="A166" s="6" t="s">
        <v>157</v>
      </c>
      <c r="B166" s="6" t="s">
        <v>158</v>
      </c>
      <c r="C166" s="7">
        <v>12</v>
      </c>
      <c r="D166" s="7">
        <v>6</v>
      </c>
      <c r="E166" s="7">
        <v>6</v>
      </c>
      <c r="F166" s="7">
        <v>140</v>
      </c>
      <c r="G166" s="7">
        <v>114</v>
      </c>
      <c r="H166" s="7">
        <v>1</v>
      </c>
      <c r="I166" s="7">
        <v>0</v>
      </c>
      <c r="J166" s="7">
        <v>0</v>
      </c>
      <c r="K166" s="7">
        <v>54</v>
      </c>
      <c r="L166" s="7">
        <v>0</v>
      </c>
      <c r="M166" s="7">
        <v>0</v>
      </c>
      <c r="N166" s="7">
        <v>48</v>
      </c>
      <c r="O166" s="7">
        <v>0</v>
      </c>
      <c r="P166" s="7">
        <v>0</v>
      </c>
      <c r="Q166" s="7">
        <v>0</v>
      </c>
      <c r="R166" s="7">
        <v>11</v>
      </c>
      <c r="S166" s="7">
        <v>0</v>
      </c>
      <c r="T166" s="7">
        <v>0</v>
      </c>
      <c r="U166" s="7">
        <v>0</v>
      </c>
      <c r="V166" s="7">
        <v>26</v>
      </c>
      <c r="W166" s="7">
        <v>0</v>
      </c>
      <c r="X166" s="7">
        <v>0</v>
      </c>
      <c r="Y166" s="7">
        <v>0</v>
      </c>
      <c r="Z166" s="7">
        <v>0</v>
      </c>
      <c r="AA166" s="7">
        <v>26</v>
      </c>
      <c r="AB166" s="7">
        <v>0</v>
      </c>
      <c r="AC166" s="7">
        <v>0</v>
      </c>
      <c r="AD166" s="7">
        <v>0</v>
      </c>
      <c r="AF166" s="6"/>
      <c r="AG166" s="6" t="s">
        <v>317</v>
      </c>
      <c r="AH166" s="16">
        <f t="shared" si="4"/>
        <v>8</v>
      </c>
      <c r="AI166" s="16">
        <f t="shared" si="5"/>
        <v>16</v>
      </c>
    </row>
    <row r="167" spans="1:35" ht="12.3">
      <c r="A167" s="6" t="s">
        <v>157</v>
      </c>
      <c r="B167" s="6" t="s">
        <v>159</v>
      </c>
      <c r="C167" s="7">
        <v>12</v>
      </c>
      <c r="D167" s="7">
        <v>0</v>
      </c>
      <c r="E167" s="7">
        <v>1</v>
      </c>
      <c r="F167" s="7">
        <v>1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1</v>
      </c>
      <c r="W167" s="7">
        <v>0</v>
      </c>
      <c r="X167" s="7">
        <v>0</v>
      </c>
      <c r="Y167" s="7">
        <v>0</v>
      </c>
      <c r="Z167" s="7">
        <v>1</v>
      </c>
      <c r="AA167" s="7">
        <v>0</v>
      </c>
      <c r="AB167" s="7">
        <v>0</v>
      </c>
      <c r="AC167" s="7">
        <v>0</v>
      </c>
      <c r="AD167" s="7">
        <v>0</v>
      </c>
      <c r="AF167" s="6"/>
      <c r="AG167" s="6" t="s">
        <v>318</v>
      </c>
      <c r="AH167" s="16">
        <f t="shared" si="4"/>
        <v>3</v>
      </c>
      <c r="AI167" s="16">
        <f t="shared" si="5"/>
        <v>6</v>
      </c>
    </row>
    <row r="168" spans="1:35" ht="12.3">
      <c r="A168" s="6" t="s">
        <v>157</v>
      </c>
      <c r="B168" s="6" t="s">
        <v>160</v>
      </c>
      <c r="C168" s="7">
        <v>13</v>
      </c>
      <c r="D168" s="7">
        <v>2</v>
      </c>
      <c r="E168" s="7">
        <v>3</v>
      </c>
      <c r="F168" s="7">
        <v>19</v>
      </c>
      <c r="G168" s="7">
        <v>12</v>
      </c>
      <c r="H168" s="7">
        <v>0</v>
      </c>
      <c r="I168" s="7">
        <v>0</v>
      </c>
      <c r="J168" s="7">
        <v>0</v>
      </c>
      <c r="K168" s="7">
        <v>12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7</v>
      </c>
      <c r="W168" s="7">
        <v>0</v>
      </c>
      <c r="X168" s="7">
        <v>0</v>
      </c>
      <c r="Y168" s="7">
        <v>0</v>
      </c>
      <c r="Z168" s="7">
        <v>3</v>
      </c>
      <c r="AA168" s="7">
        <v>4</v>
      </c>
      <c r="AB168" s="7">
        <v>0</v>
      </c>
      <c r="AC168" s="7">
        <v>0</v>
      </c>
      <c r="AD168" s="7">
        <v>0</v>
      </c>
      <c r="AF168" s="6"/>
      <c r="AG168" s="6" t="s">
        <v>319</v>
      </c>
      <c r="AH168" s="16">
        <f t="shared" si="4"/>
        <v>10</v>
      </c>
      <c r="AI168" s="16">
        <f t="shared" si="5"/>
        <v>20</v>
      </c>
    </row>
    <row r="169" spans="1:35" ht="12.3">
      <c r="A169" s="6" t="s">
        <v>157</v>
      </c>
      <c r="B169" s="6" t="s">
        <v>161</v>
      </c>
      <c r="C169" s="7">
        <v>14</v>
      </c>
      <c r="D169" s="7">
        <v>0</v>
      </c>
      <c r="E169" s="7">
        <v>2</v>
      </c>
      <c r="F169" s="7">
        <v>4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4</v>
      </c>
      <c r="W169" s="7">
        <v>0</v>
      </c>
      <c r="X169" s="7">
        <v>0</v>
      </c>
      <c r="Y169" s="7">
        <v>0</v>
      </c>
      <c r="Z169" s="7">
        <v>4</v>
      </c>
      <c r="AA169" s="7">
        <v>0</v>
      </c>
      <c r="AB169" s="7">
        <v>0</v>
      </c>
      <c r="AC169" s="7">
        <v>0</v>
      </c>
      <c r="AD169" s="7">
        <v>0</v>
      </c>
      <c r="AF169" s="6"/>
      <c r="AG169" s="6" t="s">
        <v>320</v>
      </c>
      <c r="AH169" s="16">
        <f t="shared" si="4"/>
        <v>2</v>
      </c>
      <c r="AI169" s="16">
        <f t="shared" si="5"/>
        <v>4</v>
      </c>
    </row>
    <row r="170" spans="1:35" ht="12.3">
      <c r="A170" s="6" t="s">
        <v>157</v>
      </c>
      <c r="B170" s="6" t="s">
        <v>162</v>
      </c>
      <c r="C170" s="7">
        <v>15</v>
      </c>
      <c r="D170" s="7">
        <v>7</v>
      </c>
      <c r="E170" s="7">
        <v>2</v>
      </c>
      <c r="F170" s="7">
        <v>36</v>
      </c>
      <c r="G170" s="7">
        <v>28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2</v>
      </c>
      <c r="N170" s="7">
        <v>26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8</v>
      </c>
      <c r="W170" s="7">
        <v>0</v>
      </c>
      <c r="X170" s="7">
        <v>0</v>
      </c>
      <c r="Y170" s="7">
        <v>0</v>
      </c>
      <c r="Z170" s="7">
        <v>6</v>
      </c>
      <c r="AA170" s="7">
        <v>2</v>
      </c>
      <c r="AB170" s="7">
        <v>0</v>
      </c>
      <c r="AC170" s="7">
        <v>0</v>
      </c>
      <c r="AD170" s="7">
        <v>0</v>
      </c>
      <c r="AF170" s="6"/>
      <c r="AG170" s="6" t="s">
        <v>322</v>
      </c>
      <c r="AH170" s="16">
        <f t="shared" si="4"/>
        <v>1</v>
      </c>
      <c r="AI170" s="16">
        <f t="shared" si="5"/>
        <v>2</v>
      </c>
    </row>
    <row r="171" spans="1:35" ht="12.3">
      <c r="A171" s="6" t="s">
        <v>163</v>
      </c>
      <c r="B171" s="6" t="s">
        <v>164</v>
      </c>
      <c r="C171" s="7">
        <v>8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F171" s="6"/>
      <c r="AG171" s="6" t="s">
        <v>323</v>
      </c>
      <c r="AH171" s="16">
        <f t="shared" si="4"/>
        <v>1</v>
      </c>
      <c r="AI171" s="16">
        <f t="shared" si="5"/>
        <v>2</v>
      </c>
    </row>
    <row r="172" spans="1:35" ht="12.3">
      <c r="A172" s="6" t="s">
        <v>163</v>
      </c>
      <c r="B172" s="6" t="s">
        <v>165</v>
      </c>
      <c r="C172" s="7">
        <v>8</v>
      </c>
      <c r="D172" s="7">
        <v>0</v>
      </c>
      <c r="E172" s="7">
        <v>4</v>
      </c>
      <c r="F172" s="7">
        <v>9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9</v>
      </c>
      <c r="W172" s="7">
        <v>0</v>
      </c>
      <c r="X172" s="7">
        <v>0</v>
      </c>
      <c r="Y172" s="7">
        <v>0</v>
      </c>
      <c r="Z172" s="7">
        <v>2</v>
      </c>
      <c r="AA172" s="7">
        <v>7</v>
      </c>
      <c r="AB172" s="7">
        <v>0</v>
      </c>
      <c r="AC172" s="7">
        <v>0</v>
      </c>
      <c r="AD172" s="7">
        <v>0</v>
      </c>
      <c r="AF172" s="6"/>
      <c r="AG172" s="6" t="s">
        <v>325</v>
      </c>
      <c r="AH172" s="16">
        <f t="shared" si="4"/>
        <v>2</v>
      </c>
      <c r="AI172" s="16">
        <f t="shared" si="5"/>
        <v>4</v>
      </c>
    </row>
    <row r="173" spans="1:35" ht="12.3">
      <c r="A173" s="6" t="s">
        <v>166</v>
      </c>
      <c r="B173" s="6" t="s">
        <v>167</v>
      </c>
      <c r="C173" s="7">
        <v>58</v>
      </c>
      <c r="D173" s="7">
        <v>0</v>
      </c>
      <c r="E173" s="7">
        <v>20</v>
      </c>
      <c r="F173" s="7">
        <v>56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56</v>
      </c>
      <c r="W173" s="7">
        <v>0</v>
      </c>
      <c r="X173" s="7">
        <v>0</v>
      </c>
      <c r="Y173" s="7">
        <v>0</v>
      </c>
      <c r="Z173" s="7">
        <v>56</v>
      </c>
      <c r="AA173" s="7">
        <v>0</v>
      </c>
      <c r="AB173" s="7">
        <v>0</v>
      </c>
      <c r="AC173" s="7">
        <v>0</v>
      </c>
      <c r="AD173" s="7">
        <v>0</v>
      </c>
      <c r="AF173" s="6"/>
      <c r="AG173" s="6" t="s">
        <v>328</v>
      </c>
      <c r="AH173" s="16">
        <f t="shared" si="4"/>
        <v>2</v>
      </c>
      <c r="AI173" s="16">
        <f t="shared" si="5"/>
        <v>4</v>
      </c>
    </row>
    <row r="174" spans="1:35" ht="12.3">
      <c r="A174" s="6" t="s">
        <v>166</v>
      </c>
      <c r="B174" s="6" t="s">
        <v>168</v>
      </c>
      <c r="C174" s="7">
        <v>58</v>
      </c>
      <c r="D174" s="7">
        <v>0</v>
      </c>
      <c r="E174" s="7">
        <v>20</v>
      </c>
      <c r="F174" s="7">
        <v>56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56</v>
      </c>
      <c r="W174" s="7">
        <v>0</v>
      </c>
      <c r="X174" s="7">
        <v>0</v>
      </c>
      <c r="Y174" s="7">
        <v>0</v>
      </c>
      <c r="Z174" s="7">
        <v>56</v>
      </c>
      <c r="AA174" s="7">
        <v>0</v>
      </c>
      <c r="AB174" s="7">
        <v>0</v>
      </c>
      <c r="AC174" s="7">
        <v>0</v>
      </c>
      <c r="AD174" s="7">
        <v>0</v>
      </c>
      <c r="AF174" s="6"/>
      <c r="AG174" s="6" t="s">
        <v>329</v>
      </c>
      <c r="AH174" s="16">
        <f t="shared" si="4"/>
        <v>1</v>
      </c>
      <c r="AI174" s="16">
        <f t="shared" si="5"/>
        <v>2</v>
      </c>
    </row>
    <row r="175" spans="1:35" ht="12.3">
      <c r="A175" s="6" t="s">
        <v>169</v>
      </c>
      <c r="B175" s="6" t="s">
        <v>170</v>
      </c>
      <c r="C175" s="7">
        <v>22</v>
      </c>
      <c r="D175" s="7">
        <v>0</v>
      </c>
      <c r="E175" s="7">
        <v>6</v>
      </c>
      <c r="F175" s="7">
        <v>6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6</v>
      </c>
      <c r="W175" s="7">
        <v>0</v>
      </c>
      <c r="X175" s="7">
        <v>0</v>
      </c>
      <c r="Y175" s="7">
        <v>0</v>
      </c>
      <c r="Z175" s="7">
        <v>6</v>
      </c>
      <c r="AA175" s="7">
        <v>0</v>
      </c>
      <c r="AB175" s="7">
        <v>0</v>
      </c>
      <c r="AC175" s="7">
        <v>0</v>
      </c>
      <c r="AD175" s="7">
        <v>0</v>
      </c>
      <c r="AF175" s="6"/>
      <c r="AG175" s="6" t="s">
        <v>331</v>
      </c>
      <c r="AH175" s="16">
        <f t="shared" si="4"/>
        <v>2</v>
      </c>
      <c r="AI175" s="16">
        <f t="shared" si="5"/>
        <v>4</v>
      </c>
    </row>
    <row r="176" spans="1:35" ht="12.3">
      <c r="A176" s="6" t="s">
        <v>169</v>
      </c>
      <c r="B176" s="6" t="s">
        <v>171</v>
      </c>
      <c r="C176" s="7">
        <v>22</v>
      </c>
      <c r="D176" s="7">
        <v>0</v>
      </c>
      <c r="E176" s="7">
        <v>6</v>
      </c>
      <c r="F176" s="7">
        <v>6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6</v>
      </c>
      <c r="W176" s="7">
        <v>0</v>
      </c>
      <c r="X176" s="7">
        <v>0</v>
      </c>
      <c r="Y176" s="7">
        <v>0</v>
      </c>
      <c r="Z176" s="7">
        <v>6</v>
      </c>
      <c r="AA176" s="7">
        <v>0</v>
      </c>
      <c r="AB176" s="7">
        <v>0</v>
      </c>
      <c r="AC176" s="7">
        <v>0</v>
      </c>
      <c r="AD176" s="7">
        <v>0</v>
      </c>
      <c r="AF176" s="6"/>
      <c r="AG176" s="6" t="s">
        <v>334</v>
      </c>
      <c r="AH176" s="16">
        <f t="shared" si="4"/>
        <v>1</v>
      </c>
      <c r="AI176" s="16">
        <f t="shared" si="5"/>
        <v>2</v>
      </c>
    </row>
    <row r="177" spans="1:35" ht="12.3">
      <c r="A177" s="6" t="s">
        <v>172</v>
      </c>
      <c r="B177" s="6" t="s">
        <v>173</v>
      </c>
      <c r="C177" s="7">
        <v>6</v>
      </c>
      <c r="D177" s="7">
        <v>0</v>
      </c>
      <c r="E177" s="7">
        <v>1</v>
      </c>
      <c r="F177" s="7">
        <v>1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1</v>
      </c>
      <c r="W177" s="7">
        <v>0</v>
      </c>
      <c r="X177" s="7">
        <v>0</v>
      </c>
      <c r="Y177" s="7">
        <v>0</v>
      </c>
      <c r="Z177" s="7">
        <v>1</v>
      </c>
      <c r="AA177" s="7">
        <v>0</v>
      </c>
      <c r="AB177" s="7">
        <v>0</v>
      </c>
      <c r="AC177" s="7">
        <v>0</v>
      </c>
      <c r="AD177" s="7">
        <v>0</v>
      </c>
      <c r="AF177" s="6"/>
      <c r="AG177" s="6" t="s">
        <v>335</v>
      </c>
      <c r="AH177" s="16">
        <f t="shared" si="4"/>
        <v>1</v>
      </c>
      <c r="AI177" s="16">
        <f t="shared" si="5"/>
        <v>2</v>
      </c>
    </row>
    <row r="178" spans="1:35" ht="12.3">
      <c r="A178" s="6" t="s">
        <v>174</v>
      </c>
      <c r="B178" s="6" t="s">
        <v>175</v>
      </c>
      <c r="C178" s="7">
        <v>9</v>
      </c>
      <c r="D178" s="7">
        <v>2</v>
      </c>
      <c r="E178" s="7">
        <v>2</v>
      </c>
      <c r="F178" s="7">
        <v>12</v>
      </c>
      <c r="G178" s="7">
        <v>9</v>
      </c>
      <c r="H178" s="7">
        <v>0</v>
      </c>
      <c r="I178" s="7">
        <v>0</v>
      </c>
      <c r="J178" s="7">
        <v>0</v>
      </c>
      <c r="K178" s="7">
        <v>9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3</v>
      </c>
      <c r="W178" s="7">
        <v>0</v>
      </c>
      <c r="X178" s="7">
        <v>0</v>
      </c>
      <c r="Y178" s="7">
        <v>0</v>
      </c>
      <c r="Z178" s="7">
        <v>1</v>
      </c>
      <c r="AA178" s="7">
        <v>2</v>
      </c>
      <c r="AB178" s="7">
        <v>0</v>
      </c>
      <c r="AC178" s="7">
        <v>0</v>
      </c>
      <c r="AD178" s="7">
        <v>0</v>
      </c>
      <c r="AF178" s="6"/>
      <c r="AG178" s="6" t="s">
        <v>336</v>
      </c>
      <c r="AH178" s="16">
        <f t="shared" si="4"/>
        <v>1</v>
      </c>
      <c r="AI178" s="16">
        <f t="shared" si="5"/>
        <v>2</v>
      </c>
    </row>
    <row r="179" spans="1:35" ht="12.3">
      <c r="A179" s="6" t="s">
        <v>174</v>
      </c>
      <c r="B179" s="6" t="s">
        <v>176</v>
      </c>
      <c r="C179" s="7">
        <v>10</v>
      </c>
      <c r="D179" s="7">
        <v>0</v>
      </c>
      <c r="E179" s="7">
        <v>1</v>
      </c>
      <c r="F179" s="7">
        <v>1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1</v>
      </c>
      <c r="W179" s="7">
        <v>0</v>
      </c>
      <c r="X179" s="7">
        <v>0</v>
      </c>
      <c r="Y179" s="7">
        <v>0</v>
      </c>
      <c r="Z179" s="7">
        <v>1</v>
      </c>
      <c r="AA179" s="7">
        <v>0</v>
      </c>
      <c r="AB179" s="7">
        <v>0</v>
      </c>
      <c r="AC179" s="7">
        <v>0</v>
      </c>
      <c r="AD179" s="7">
        <v>0</v>
      </c>
      <c r="AF179" s="6"/>
      <c r="AG179" s="6" t="s">
        <v>338</v>
      </c>
      <c r="AH179" s="16">
        <f t="shared" si="4"/>
        <v>2</v>
      </c>
      <c r="AI179" s="16">
        <f t="shared" si="5"/>
        <v>4</v>
      </c>
    </row>
    <row r="180" spans="1:35" ht="12.3">
      <c r="A180" s="6" t="s">
        <v>177</v>
      </c>
      <c r="B180" s="6" t="s">
        <v>178</v>
      </c>
      <c r="C180" s="7">
        <v>4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F180" s="6"/>
      <c r="AG180" s="6" t="s">
        <v>341</v>
      </c>
      <c r="AH180" s="16">
        <f t="shared" si="4"/>
        <v>1</v>
      </c>
      <c r="AI180" s="16">
        <f t="shared" si="5"/>
        <v>2</v>
      </c>
    </row>
    <row r="181" spans="1:35" ht="12.3">
      <c r="A181" s="6" t="s">
        <v>179</v>
      </c>
      <c r="B181" s="6" t="s">
        <v>178</v>
      </c>
      <c r="C181" s="7">
        <v>14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F181" s="6"/>
      <c r="AG181" s="6" t="s">
        <v>343</v>
      </c>
      <c r="AH181" s="16">
        <f t="shared" si="4"/>
        <v>4</v>
      </c>
      <c r="AI181" s="16">
        <f t="shared" si="5"/>
        <v>8</v>
      </c>
    </row>
    <row r="182" spans="1:35" ht="12.3">
      <c r="A182" s="6" t="s">
        <v>180</v>
      </c>
      <c r="B182" s="6" t="s">
        <v>178</v>
      </c>
      <c r="C182" s="7">
        <v>4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F182" s="6"/>
      <c r="AG182" s="6" t="s">
        <v>348</v>
      </c>
      <c r="AH182" s="16">
        <f t="shared" si="4"/>
        <v>1</v>
      </c>
      <c r="AI182" s="16">
        <f t="shared" si="5"/>
        <v>2</v>
      </c>
    </row>
    <row r="183" spans="1:35" ht="12.3">
      <c r="A183" s="6" t="s">
        <v>181</v>
      </c>
      <c r="B183" s="6" t="s">
        <v>178</v>
      </c>
      <c r="C183" s="7">
        <v>4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F183" s="6"/>
      <c r="AG183" s="6" t="s">
        <v>350</v>
      </c>
      <c r="AH183" s="16">
        <f t="shared" si="4"/>
        <v>4</v>
      </c>
      <c r="AI183" s="16">
        <f t="shared" si="5"/>
        <v>8</v>
      </c>
    </row>
    <row r="184" spans="1:35" ht="12.3">
      <c r="A184" s="6" t="s">
        <v>182</v>
      </c>
      <c r="B184" s="6" t="s">
        <v>178</v>
      </c>
      <c r="C184" s="7">
        <v>6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F184" s="6"/>
      <c r="AG184" s="6" t="s">
        <v>355</v>
      </c>
      <c r="AH184" s="16">
        <f t="shared" si="4"/>
        <v>5</v>
      </c>
      <c r="AI184" s="16">
        <f t="shared" si="5"/>
        <v>10</v>
      </c>
    </row>
    <row r="185" spans="1:35" ht="12.3">
      <c r="A185" s="6" t="s">
        <v>183</v>
      </c>
      <c r="B185" s="6" t="s">
        <v>178</v>
      </c>
      <c r="C185" s="7">
        <v>2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F185" s="6"/>
      <c r="AG185" s="6" t="s">
        <v>358</v>
      </c>
      <c r="AH185" s="16">
        <f t="shared" si="4"/>
        <v>5</v>
      </c>
      <c r="AI185" s="16">
        <f t="shared" si="5"/>
        <v>10</v>
      </c>
    </row>
    <row r="186" spans="1:35" ht="12.3">
      <c r="A186" s="6" t="s">
        <v>184</v>
      </c>
      <c r="B186" s="6" t="s">
        <v>178</v>
      </c>
      <c r="C186" s="7">
        <v>12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F186" s="6"/>
      <c r="AG186" s="6" t="s">
        <v>360</v>
      </c>
      <c r="AH186" s="16">
        <f t="shared" si="4"/>
        <v>3</v>
      </c>
      <c r="AI186" s="16">
        <f t="shared" si="5"/>
        <v>6</v>
      </c>
    </row>
    <row r="187" spans="1:35" ht="12.3">
      <c r="A187" s="6" t="s">
        <v>185</v>
      </c>
      <c r="B187" s="6" t="s">
        <v>186</v>
      </c>
      <c r="C187" s="7">
        <v>12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F187" s="6"/>
      <c r="AG187" s="6" t="s">
        <v>364</v>
      </c>
      <c r="AH187" s="16">
        <f t="shared" si="4"/>
        <v>1</v>
      </c>
      <c r="AI187" s="16">
        <f t="shared" si="5"/>
        <v>2</v>
      </c>
    </row>
    <row r="188" spans="1:35" ht="12.3">
      <c r="A188" s="6" t="s">
        <v>187</v>
      </c>
      <c r="B188" s="6" t="s">
        <v>188</v>
      </c>
      <c r="C188" s="7">
        <v>14</v>
      </c>
      <c r="D188" s="7">
        <v>0</v>
      </c>
      <c r="E188" s="7">
        <v>1</v>
      </c>
      <c r="F188" s="7">
        <v>3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3</v>
      </c>
      <c r="W188" s="7">
        <v>0</v>
      </c>
      <c r="X188" s="7">
        <v>0</v>
      </c>
      <c r="Y188" s="7">
        <v>0</v>
      </c>
      <c r="Z188" s="7">
        <v>3</v>
      </c>
      <c r="AA188" s="7">
        <v>0</v>
      </c>
      <c r="AB188" s="7">
        <v>0</v>
      </c>
      <c r="AC188" s="7">
        <v>0</v>
      </c>
      <c r="AD188" s="7">
        <v>0</v>
      </c>
      <c r="AE188" s="7"/>
      <c r="AF188" s="6"/>
      <c r="AG188" s="6" t="s">
        <v>366</v>
      </c>
      <c r="AH188" s="16">
        <f t="shared" si="4"/>
        <v>6</v>
      </c>
      <c r="AI188" s="16">
        <f t="shared" si="5"/>
        <v>12</v>
      </c>
    </row>
    <row r="189" spans="1:35" ht="12.3">
      <c r="A189" s="6" t="s">
        <v>187</v>
      </c>
      <c r="B189" s="6" t="s">
        <v>189</v>
      </c>
      <c r="C189" s="7">
        <v>14</v>
      </c>
      <c r="D189" s="7">
        <v>0</v>
      </c>
      <c r="E189" s="7">
        <v>1</v>
      </c>
      <c r="F189" s="7">
        <v>3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3</v>
      </c>
      <c r="W189" s="7">
        <v>0</v>
      </c>
      <c r="X189" s="7">
        <v>0</v>
      </c>
      <c r="Y189" s="7">
        <v>0</v>
      </c>
      <c r="Z189" s="7">
        <v>2</v>
      </c>
      <c r="AA189" s="7">
        <v>1</v>
      </c>
      <c r="AB189" s="7">
        <v>0</v>
      </c>
      <c r="AC189" s="7">
        <v>0</v>
      </c>
      <c r="AD189" s="7">
        <v>0</v>
      </c>
      <c r="AE189" s="7"/>
      <c r="AF189" s="6"/>
      <c r="AG189" s="6" t="s">
        <v>373</v>
      </c>
      <c r="AH189" s="16">
        <f t="shared" si="4"/>
        <v>3</v>
      </c>
      <c r="AI189" s="16">
        <f t="shared" si="5"/>
        <v>6</v>
      </c>
    </row>
    <row r="190" spans="1:35" ht="12.3">
      <c r="A190" s="6" t="s">
        <v>190</v>
      </c>
      <c r="B190" s="6" t="s">
        <v>191</v>
      </c>
      <c r="C190" s="7">
        <v>8</v>
      </c>
      <c r="D190" s="7">
        <v>4</v>
      </c>
      <c r="E190" s="7">
        <v>2</v>
      </c>
      <c r="F190" s="7">
        <v>26</v>
      </c>
      <c r="G190" s="7">
        <v>24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24</v>
      </c>
      <c r="S190" s="7">
        <v>0</v>
      </c>
      <c r="T190" s="7">
        <v>0</v>
      </c>
      <c r="U190" s="7">
        <v>0</v>
      </c>
      <c r="V190" s="7">
        <v>2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2</v>
      </c>
      <c r="AC190" s="7">
        <v>0</v>
      </c>
      <c r="AD190" s="7">
        <v>0</v>
      </c>
      <c r="AE190" s="7"/>
      <c r="AF190" s="6"/>
      <c r="AG190" s="6" t="s">
        <v>374</v>
      </c>
      <c r="AH190" s="16">
        <f t="shared" si="4"/>
        <v>1</v>
      </c>
      <c r="AI190" s="16">
        <f t="shared" si="5"/>
        <v>2</v>
      </c>
    </row>
    <row r="191" spans="1:35" ht="12.3">
      <c r="A191" s="6" t="s">
        <v>190</v>
      </c>
      <c r="B191" s="6" t="s">
        <v>192</v>
      </c>
      <c r="C191" s="7">
        <v>8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/>
      <c r="AF191" s="6"/>
      <c r="AG191" s="6" t="s">
        <v>376</v>
      </c>
      <c r="AH191" s="16">
        <f t="shared" si="4"/>
        <v>1</v>
      </c>
      <c r="AI191" s="16">
        <f t="shared" si="5"/>
        <v>2</v>
      </c>
    </row>
    <row r="192" spans="1:35" ht="12.3">
      <c r="A192" s="6" t="s">
        <v>190</v>
      </c>
      <c r="B192" s="6" t="s">
        <v>193</v>
      </c>
      <c r="C192" s="7">
        <v>8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/>
      <c r="AF192" s="6"/>
      <c r="AG192" s="6" t="s">
        <v>378</v>
      </c>
      <c r="AH192" s="16">
        <f t="shared" si="4"/>
        <v>1</v>
      </c>
      <c r="AI192" s="16">
        <f t="shared" si="5"/>
        <v>2</v>
      </c>
    </row>
    <row r="193" spans="1:35" ht="12.3">
      <c r="A193" s="6" t="s">
        <v>190</v>
      </c>
      <c r="B193" s="6" t="s">
        <v>194</v>
      </c>
      <c r="C193" s="7">
        <v>8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/>
      <c r="AF193" s="6"/>
      <c r="AG193" s="6" t="s">
        <v>380</v>
      </c>
      <c r="AH193" s="16">
        <f t="shared" si="4"/>
        <v>1</v>
      </c>
      <c r="AI193" s="16">
        <f t="shared" si="5"/>
        <v>2</v>
      </c>
    </row>
    <row r="194" spans="1:35" ht="12.3">
      <c r="A194" s="6" t="s">
        <v>190</v>
      </c>
      <c r="B194" s="6" t="s">
        <v>195</v>
      </c>
      <c r="C194" s="7">
        <v>8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/>
      <c r="AF194" s="6"/>
      <c r="AG194" s="6" t="s">
        <v>381</v>
      </c>
      <c r="AH194" s="16">
        <f t="shared" si="4"/>
        <v>1</v>
      </c>
      <c r="AI194" s="16">
        <f t="shared" si="5"/>
        <v>2</v>
      </c>
    </row>
    <row r="195" spans="1:35" ht="12.3">
      <c r="A195" s="6" t="s">
        <v>190</v>
      </c>
      <c r="B195" s="6" t="s">
        <v>196</v>
      </c>
      <c r="C195" s="7">
        <v>8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/>
      <c r="AF195" s="6"/>
      <c r="AG195" s="6" t="s">
        <v>383</v>
      </c>
      <c r="AH195" s="16">
        <f t="shared" ref="AH195:AH226" si="6">COUNTIF($A$3:$A$786,AG195)</f>
        <v>1</v>
      </c>
      <c r="AI195" s="16">
        <f t="shared" ref="AI195:AI226" si="7">AH195*2</f>
        <v>2</v>
      </c>
    </row>
    <row r="196" spans="1:35" ht="12.3">
      <c r="A196" s="6" t="s">
        <v>197</v>
      </c>
      <c r="B196" s="6" t="s">
        <v>198</v>
      </c>
      <c r="C196" s="7">
        <v>46</v>
      </c>
      <c r="D196" s="7">
        <v>0</v>
      </c>
      <c r="E196" s="7">
        <v>6</v>
      </c>
      <c r="F196" s="7">
        <v>8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8</v>
      </c>
      <c r="W196" s="7">
        <v>0</v>
      </c>
      <c r="X196" s="7">
        <v>0</v>
      </c>
      <c r="Y196" s="7">
        <v>0</v>
      </c>
      <c r="Z196" s="7">
        <v>8</v>
      </c>
      <c r="AA196" s="7">
        <v>0</v>
      </c>
      <c r="AB196" s="7">
        <v>0</v>
      </c>
      <c r="AC196" s="7">
        <v>0</v>
      </c>
      <c r="AD196" s="7">
        <v>0</v>
      </c>
      <c r="AE196" s="7"/>
      <c r="AF196" s="6"/>
      <c r="AG196" s="6" t="s">
        <v>384</v>
      </c>
      <c r="AH196" s="16">
        <f t="shared" si="6"/>
        <v>1</v>
      </c>
      <c r="AI196" s="16">
        <f t="shared" si="7"/>
        <v>2</v>
      </c>
    </row>
    <row r="197" spans="1:35" ht="12.3">
      <c r="A197" s="6" t="s">
        <v>199</v>
      </c>
      <c r="B197" s="6" t="s">
        <v>200</v>
      </c>
      <c r="C197" s="7">
        <v>30</v>
      </c>
      <c r="D197" s="7">
        <v>4</v>
      </c>
      <c r="E197" s="7">
        <v>4</v>
      </c>
      <c r="F197" s="7">
        <v>12</v>
      </c>
      <c r="G197" s="7">
        <v>8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8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4</v>
      </c>
      <c r="W197" s="7">
        <v>0</v>
      </c>
      <c r="X197" s="7">
        <v>0</v>
      </c>
      <c r="Y197" s="7">
        <v>0</v>
      </c>
      <c r="Z197" s="7">
        <v>4</v>
      </c>
      <c r="AA197" s="7">
        <v>0</v>
      </c>
      <c r="AB197" s="7">
        <v>0</v>
      </c>
      <c r="AC197" s="7">
        <v>0</v>
      </c>
      <c r="AD197" s="7">
        <v>0</v>
      </c>
      <c r="AE197" s="7"/>
      <c r="AF197" s="6"/>
      <c r="AG197" s="6" t="s">
        <v>385</v>
      </c>
      <c r="AH197" s="16">
        <f t="shared" si="6"/>
        <v>1</v>
      </c>
      <c r="AI197" s="16">
        <f t="shared" si="7"/>
        <v>2</v>
      </c>
    </row>
    <row r="198" spans="1:35" ht="12.3">
      <c r="A198" s="6" t="s">
        <v>199</v>
      </c>
      <c r="B198" s="6" t="s">
        <v>201</v>
      </c>
      <c r="C198" s="7">
        <v>48</v>
      </c>
      <c r="D198" s="7">
        <v>0</v>
      </c>
      <c r="E198" s="7">
        <v>8</v>
      </c>
      <c r="F198" s="7">
        <v>9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9</v>
      </c>
      <c r="W198" s="7">
        <v>0</v>
      </c>
      <c r="X198" s="7">
        <v>0</v>
      </c>
      <c r="Y198" s="7">
        <v>0</v>
      </c>
      <c r="Z198" s="7">
        <v>9</v>
      </c>
      <c r="AA198" s="7">
        <v>0</v>
      </c>
      <c r="AB198" s="7">
        <v>0</v>
      </c>
      <c r="AC198" s="7">
        <v>0</v>
      </c>
      <c r="AD198" s="7">
        <v>0</v>
      </c>
      <c r="AE198" s="7"/>
      <c r="AF198" s="6"/>
      <c r="AG198" s="6" t="s">
        <v>387</v>
      </c>
      <c r="AH198" s="16">
        <f t="shared" si="6"/>
        <v>3</v>
      </c>
      <c r="AI198" s="16">
        <f t="shared" si="7"/>
        <v>6</v>
      </c>
    </row>
    <row r="199" spans="1:35" ht="12.3">
      <c r="A199" s="6" t="s">
        <v>199</v>
      </c>
      <c r="B199" s="6" t="s">
        <v>202</v>
      </c>
      <c r="C199" s="7">
        <v>50</v>
      </c>
      <c r="D199" s="7">
        <v>0</v>
      </c>
      <c r="E199" s="7">
        <v>9</v>
      </c>
      <c r="F199" s="7">
        <v>12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12</v>
      </c>
      <c r="W199" s="7">
        <v>0</v>
      </c>
      <c r="X199" s="7">
        <v>0</v>
      </c>
      <c r="Y199" s="7">
        <v>0</v>
      </c>
      <c r="Z199" s="7">
        <v>12</v>
      </c>
      <c r="AA199" s="7">
        <v>0</v>
      </c>
      <c r="AB199" s="7">
        <v>0</v>
      </c>
      <c r="AC199" s="7">
        <v>0</v>
      </c>
      <c r="AD199" s="7">
        <v>0</v>
      </c>
      <c r="AE199" s="7"/>
      <c r="AF199" s="6"/>
      <c r="AG199" s="6" t="s">
        <v>389</v>
      </c>
      <c r="AH199" s="16">
        <f t="shared" si="6"/>
        <v>3</v>
      </c>
      <c r="AI199" s="16">
        <f t="shared" si="7"/>
        <v>6</v>
      </c>
    </row>
    <row r="200" spans="1:35" ht="12.3">
      <c r="A200" s="6" t="s">
        <v>199</v>
      </c>
      <c r="B200" s="6" t="s">
        <v>203</v>
      </c>
      <c r="C200" s="7">
        <v>50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/>
      <c r="AF200" s="6"/>
      <c r="AG200" s="6" t="s">
        <v>391</v>
      </c>
      <c r="AH200" s="16">
        <f t="shared" si="6"/>
        <v>1</v>
      </c>
      <c r="AI200" s="16">
        <f t="shared" si="7"/>
        <v>2</v>
      </c>
    </row>
    <row r="201" spans="1:35" ht="12.3">
      <c r="A201" s="6" t="s">
        <v>199</v>
      </c>
      <c r="B201" s="6" t="s">
        <v>204</v>
      </c>
      <c r="C201" s="7">
        <v>50</v>
      </c>
      <c r="D201" s="7">
        <v>0</v>
      </c>
      <c r="E201" s="7">
        <v>9</v>
      </c>
      <c r="F201" s="7">
        <v>12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12</v>
      </c>
      <c r="W201" s="7">
        <v>0</v>
      </c>
      <c r="X201" s="7">
        <v>0</v>
      </c>
      <c r="Y201" s="7">
        <v>0</v>
      </c>
      <c r="Z201" s="7">
        <v>12</v>
      </c>
      <c r="AA201" s="7">
        <v>0</v>
      </c>
      <c r="AB201" s="7">
        <v>0</v>
      </c>
      <c r="AC201" s="7">
        <v>0</v>
      </c>
      <c r="AD201" s="7">
        <v>0</v>
      </c>
      <c r="AE201" s="7"/>
      <c r="AF201" s="6"/>
      <c r="AG201" s="6" t="s">
        <v>393</v>
      </c>
      <c r="AH201" s="16">
        <f t="shared" si="6"/>
        <v>1</v>
      </c>
      <c r="AI201" s="16">
        <f t="shared" si="7"/>
        <v>2</v>
      </c>
    </row>
    <row r="202" spans="1:35" ht="12.3">
      <c r="A202" s="6" t="s">
        <v>205</v>
      </c>
      <c r="B202" s="6" t="s">
        <v>206</v>
      </c>
      <c r="C202" s="7">
        <v>18</v>
      </c>
      <c r="D202" s="7">
        <v>1</v>
      </c>
      <c r="E202" s="7">
        <v>3</v>
      </c>
      <c r="F202" s="7">
        <v>5</v>
      </c>
      <c r="G202" s="7">
        <v>1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1</v>
      </c>
      <c r="S202" s="7">
        <v>0</v>
      </c>
      <c r="T202" s="7">
        <v>0</v>
      </c>
      <c r="U202" s="7">
        <v>0</v>
      </c>
      <c r="V202" s="7">
        <v>4</v>
      </c>
      <c r="W202" s="7">
        <v>0</v>
      </c>
      <c r="X202" s="7">
        <v>0</v>
      </c>
      <c r="Y202" s="7">
        <v>0</v>
      </c>
      <c r="Z202" s="7">
        <v>4</v>
      </c>
      <c r="AA202" s="7">
        <v>0</v>
      </c>
      <c r="AB202" s="7">
        <v>0</v>
      </c>
      <c r="AC202" s="7">
        <v>0</v>
      </c>
      <c r="AD202" s="7">
        <v>0</v>
      </c>
      <c r="AE202" s="7"/>
      <c r="AF202" s="6"/>
      <c r="AG202" s="6" t="s">
        <v>395</v>
      </c>
      <c r="AH202" s="16">
        <f t="shared" si="6"/>
        <v>2</v>
      </c>
      <c r="AI202" s="16">
        <f t="shared" si="7"/>
        <v>4</v>
      </c>
    </row>
    <row r="203" spans="1:35" ht="12.3">
      <c r="A203" s="6" t="s">
        <v>205</v>
      </c>
      <c r="B203" s="6" t="s">
        <v>207</v>
      </c>
      <c r="C203" s="7">
        <v>18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/>
      <c r="AF203" s="6"/>
      <c r="AG203" s="6" t="s">
        <v>398</v>
      </c>
      <c r="AH203" s="16">
        <f t="shared" si="6"/>
        <v>1</v>
      </c>
      <c r="AI203" s="16">
        <f t="shared" si="7"/>
        <v>2</v>
      </c>
    </row>
    <row r="204" spans="1:35" ht="12.3">
      <c r="A204" s="6" t="s">
        <v>205</v>
      </c>
      <c r="B204" s="6" t="s">
        <v>208</v>
      </c>
      <c r="C204" s="7">
        <v>110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/>
      <c r="AF204" s="6"/>
      <c r="AG204" s="6" t="s">
        <v>400</v>
      </c>
      <c r="AH204" s="16">
        <f t="shared" si="6"/>
        <v>1</v>
      </c>
      <c r="AI204" s="16">
        <f t="shared" si="7"/>
        <v>2</v>
      </c>
    </row>
    <row r="205" spans="1:35" ht="12.3">
      <c r="A205" s="6" t="s">
        <v>209</v>
      </c>
      <c r="B205" s="6" t="s">
        <v>206</v>
      </c>
      <c r="C205" s="7">
        <v>2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/>
      <c r="AF205" s="6"/>
      <c r="AG205" s="6" t="s">
        <v>402</v>
      </c>
      <c r="AH205" s="16">
        <f t="shared" si="6"/>
        <v>1</v>
      </c>
      <c r="AI205" s="16">
        <f t="shared" si="7"/>
        <v>2</v>
      </c>
    </row>
    <row r="206" spans="1:35" ht="12.3">
      <c r="A206" s="6" t="s">
        <v>209</v>
      </c>
      <c r="B206" s="6" t="s">
        <v>207</v>
      </c>
      <c r="C206" s="7">
        <v>2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/>
      <c r="AF206" s="6"/>
      <c r="AG206" s="6" t="s">
        <v>403</v>
      </c>
      <c r="AH206" s="16">
        <f t="shared" si="6"/>
        <v>1</v>
      </c>
      <c r="AI206" s="16">
        <f t="shared" si="7"/>
        <v>2</v>
      </c>
    </row>
    <row r="207" spans="1:35" ht="12.3">
      <c r="A207" s="6" t="s">
        <v>209</v>
      </c>
      <c r="B207" s="6" t="s">
        <v>210</v>
      </c>
      <c r="C207" s="7">
        <v>2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/>
      <c r="AF207" s="6"/>
      <c r="AG207" s="6" t="s">
        <v>405</v>
      </c>
      <c r="AH207" s="16">
        <f t="shared" si="6"/>
        <v>3</v>
      </c>
      <c r="AI207" s="16">
        <f t="shared" si="7"/>
        <v>6</v>
      </c>
    </row>
    <row r="208" spans="1:35" ht="12.3">
      <c r="A208" s="6" t="s">
        <v>211</v>
      </c>
      <c r="B208" s="6" t="s">
        <v>206</v>
      </c>
      <c r="C208" s="7">
        <v>4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/>
      <c r="AF208" s="6"/>
      <c r="AG208" s="6" t="s">
        <v>409</v>
      </c>
      <c r="AH208" s="16">
        <f t="shared" si="6"/>
        <v>1</v>
      </c>
      <c r="AI208" s="16">
        <f t="shared" si="7"/>
        <v>2</v>
      </c>
    </row>
    <row r="209" spans="1:35" ht="12.3">
      <c r="A209" s="6" t="s">
        <v>211</v>
      </c>
      <c r="B209" s="6" t="s">
        <v>207</v>
      </c>
      <c r="C209" s="7">
        <v>4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/>
      <c r="AF209" s="6"/>
      <c r="AG209" s="6" t="s">
        <v>411</v>
      </c>
      <c r="AH209" s="16">
        <f t="shared" si="6"/>
        <v>5</v>
      </c>
      <c r="AI209" s="16">
        <f t="shared" si="7"/>
        <v>10</v>
      </c>
    </row>
    <row r="210" spans="1:35" ht="12.3">
      <c r="A210" s="6" t="s">
        <v>211</v>
      </c>
      <c r="B210" s="6" t="s">
        <v>210</v>
      </c>
      <c r="C210" s="7">
        <v>4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/>
      <c r="AF210" s="6"/>
      <c r="AG210" s="6" t="s">
        <v>415</v>
      </c>
      <c r="AH210" s="16">
        <f t="shared" si="6"/>
        <v>1</v>
      </c>
      <c r="AI210" s="16">
        <f t="shared" si="7"/>
        <v>2</v>
      </c>
    </row>
    <row r="211" spans="1:35" ht="12.3">
      <c r="A211" s="6" t="s">
        <v>212</v>
      </c>
      <c r="B211" s="6" t="s">
        <v>213</v>
      </c>
      <c r="C211" s="7">
        <v>12</v>
      </c>
      <c r="D211" s="7">
        <v>0</v>
      </c>
      <c r="E211" s="7">
        <v>1</v>
      </c>
      <c r="F211" s="7">
        <v>2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2</v>
      </c>
      <c r="W211" s="7">
        <v>0</v>
      </c>
      <c r="X211" s="7">
        <v>0</v>
      </c>
      <c r="Y211" s="7">
        <v>0</v>
      </c>
      <c r="Z211" s="7">
        <v>2</v>
      </c>
      <c r="AA211" s="7">
        <v>0</v>
      </c>
      <c r="AB211" s="7">
        <v>0</v>
      </c>
      <c r="AC211" s="7">
        <v>0</v>
      </c>
      <c r="AD211" s="7">
        <v>0</v>
      </c>
      <c r="AE211" s="7"/>
      <c r="AF211" s="6"/>
      <c r="AG211" s="6" t="s">
        <v>417</v>
      </c>
      <c r="AH211" s="16">
        <f t="shared" si="6"/>
        <v>1</v>
      </c>
      <c r="AI211" s="16">
        <f t="shared" si="7"/>
        <v>2</v>
      </c>
    </row>
    <row r="212" spans="1:35" ht="12.3">
      <c r="A212" s="6" t="s">
        <v>214</v>
      </c>
      <c r="B212" s="6" t="s">
        <v>215</v>
      </c>
      <c r="C212" s="7">
        <v>32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/>
      <c r="AF212" s="6"/>
      <c r="AG212" s="6" t="s">
        <v>419</v>
      </c>
      <c r="AH212" s="16">
        <f t="shared" si="6"/>
        <v>2</v>
      </c>
      <c r="AI212" s="16">
        <f t="shared" si="7"/>
        <v>4</v>
      </c>
    </row>
    <row r="213" spans="1:35" ht="12.3">
      <c r="A213" s="6" t="s">
        <v>216</v>
      </c>
      <c r="B213" s="6" t="s">
        <v>215</v>
      </c>
      <c r="C213" s="7">
        <v>8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/>
      <c r="AF213" s="6"/>
      <c r="AG213" s="6" t="s">
        <v>422</v>
      </c>
      <c r="AH213" s="16">
        <f t="shared" si="6"/>
        <v>2</v>
      </c>
      <c r="AI213" s="16">
        <f t="shared" si="7"/>
        <v>4</v>
      </c>
    </row>
    <row r="214" spans="1:35" ht="12.3">
      <c r="A214" s="6" t="s">
        <v>217</v>
      </c>
      <c r="B214" s="6" t="s">
        <v>215</v>
      </c>
      <c r="C214" s="7">
        <v>8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/>
      <c r="AF214" s="6"/>
      <c r="AG214" s="6" t="s">
        <v>425</v>
      </c>
      <c r="AH214" s="16">
        <f t="shared" si="6"/>
        <v>1</v>
      </c>
      <c r="AI214" s="16">
        <f t="shared" si="7"/>
        <v>2</v>
      </c>
    </row>
    <row r="215" spans="1:35" ht="12.3">
      <c r="A215" s="6" t="s">
        <v>218</v>
      </c>
      <c r="B215" s="6" t="s">
        <v>215</v>
      </c>
      <c r="C215" s="7">
        <v>4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/>
      <c r="AF215" s="6"/>
      <c r="AG215" s="6" t="s">
        <v>427</v>
      </c>
      <c r="AH215" s="16">
        <f t="shared" si="6"/>
        <v>2</v>
      </c>
      <c r="AI215" s="16">
        <f t="shared" si="7"/>
        <v>4</v>
      </c>
    </row>
    <row r="216" spans="1:35" ht="12.3">
      <c r="A216" s="6" t="s">
        <v>219</v>
      </c>
      <c r="B216" s="6" t="s">
        <v>215</v>
      </c>
      <c r="C216" s="7">
        <v>26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/>
      <c r="AF216" s="6"/>
      <c r="AG216" s="6" t="s">
        <v>428</v>
      </c>
      <c r="AH216" s="16">
        <f t="shared" si="6"/>
        <v>3</v>
      </c>
      <c r="AI216" s="16">
        <f t="shared" si="7"/>
        <v>6</v>
      </c>
    </row>
    <row r="217" spans="1:35" ht="12.3">
      <c r="A217" s="6" t="s">
        <v>220</v>
      </c>
      <c r="B217" s="6" t="s">
        <v>215</v>
      </c>
      <c r="C217" s="7">
        <v>46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/>
      <c r="AF217" s="6"/>
      <c r="AG217" s="6" t="s">
        <v>432</v>
      </c>
      <c r="AH217" s="16">
        <f t="shared" si="6"/>
        <v>2</v>
      </c>
      <c r="AI217" s="16">
        <f t="shared" si="7"/>
        <v>4</v>
      </c>
    </row>
    <row r="218" spans="1:35" ht="12.3">
      <c r="A218" s="6" t="s">
        <v>221</v>
      </c>
      <c r="B218" s="6" t="s">
        <v>222</v>
      </c>
      <c r="C218" s="7">
        <v>10</v>
      </c>
      <c r="D218" s="7">
        <v>0</v>
      </c>
      <c r="E218" s="7">
        <v>1</v>
      </c>
      <c r="F218" s="7">
        <v>1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1</v>
      </c>
      <c r="W218" s="7">
        <v>0</v>
      </c>
      <c r="X218" s="7">
        <v>0</v>
      </c>
      <c r="Y218" s="7">
        <v>0</v>
      </c>
      <c r="Z218" s="7">
        <v>0</v>
      </c>
      <c r="AA218" s="7">
        <v>1</v>
      </c>
      <c r="AB218" s="7">
        <v>0</v>
      </c>
      <c r="AC218" s="7">
        <v>0</v>
      </c>
      <c r="AD218" s="7">
        <v>0</v>
      </c>
      <c r="AF218" s="6"/>
      <c r="AG218" s="6" t="s">
        <v>433</v>
      </c>
      <c r="AH218" s="16">
        <f t="shared" si="6"/>
        <v>2</v>
      </c>
      <c r="AI218" s="16">
        <f t="shared" si="7"/>
        <v>4</v>
      </c>
    </row>
    <row r="219" spans="1:35" ht="12.3">
      <c r="A219" s="6" t="s">
        <v>221</v>
      </c>
      <c r="B219" s="6" t="s">
        <v>223</v>
      </c>
      <c r="C219" s="7">
        <v>10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F219" s="6"/>
      <c r="AG219" s="6" t="s">
        <v>434</v>
      </c>
      <c r="AH219" s="16">
        <f t="shared" si="6"/>
        <v>2</v>
      </c>
      <c r="AI219" s="16">
        <f t="shared" si="7"/>
        <v>4</v>
      </c>
    </row>
    <row r="220" spans="1:35" ht="12.3">
      <c r="A220" s="6" t="s">
        <v>224</v>
      </c>
      <c r="B220" s="6" t="s">
        <v>225</v>
      </c>
      <c r="C220" s="7">
        <v>18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F220" s="6"/>
      <c r="AG220" s="6" t="s">
        <v>436</v>
      </c>
      <c r="AH220" s="16">
        <f t="shared" si="6"/>
        <v>2</v>
      </c>
      <c r="AI220" s="16">
        <f t="shared" si="7"/>
        <v>4</v>
      </c>
    </row>
    <row r="221" spans="1:35" ht="12.3">
      <c r="A221" s="6" t="s">
        <v>226</v>
      </c>
      <c r="B221" s="6" t="s">
        <v>227</v>
      </c>
      <c r="C221" s="7">
        <v>14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F221" s="6"/>
      <c r="AG221" s="6" t="s">
        <v>437</v>
      </c>
      <c r="AH221" s="16">
        <f t="shared" si="6"/>
        <v>2</v>
      </c>
      <c r="AI221" s="16">
        <f t="shared" si="7"/>
        <v>4</v>
      </c>
    </row>
    <row r="222" spans="1:35" ht="12.3">
      <c r="A222" s="6" t="s">
        <v>228</v>
      </c>
      <c r="B222" s="6" t="s">
        <v>229</v>
      </c>
      <c r="C222" s="7">
        <v>4</v>
      </c>
      <c r="D222" s="7">
        <v>2</v>
      </c>
      <c r="E222" s="7">
        <v>1</v>
      </c>
      <c r="F222" s="7">
        <v>17</v>
      </c>
      <c r="G222" s="7">
        <v>15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15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2</v>
      </c>
      <c r="W222" s="7">
        <v>0</v>
      </c>
      <c r="X222" s="7">
        <v>0</v>
      </c>
      <c r="Y222" s="7">
        <v>0</v>
      </c>
      <c r="Z222" s="7">
        <v>2</v>
      </c>
      <c r="AA222" s="7">
        <v>0</v>
      </c>
      <c r="AB222" s="7">
        <v>0</v>
      </c>
      <c r="AC222" s="7">
        <v>0</v>
      </c>
      <c r="AD222" s="7">
        <v>0</v>
      </c>
      <c r="AF222" s="6"/>
      <c r="AG222" s="6" t="s">
        <v>438</v>
      </c>
      <c r="AH222" s="16">
        <f t="shared" si="6"/>
        <v>1</v>
      </c>
      <c r="AI222" s="16">
        <f t="shared" si="7"/>
        <v>2</v>
      </c>
    </row>
    <row r="223" spans="1:35" ht="12.3">
      <c r="A223" s="6" t="s">
        <v>230</v>
      </c>
      <c r="B223" s="6" t="s">
        <v>229</v>
      </c>
      <c r="C223" s="7">
        <v>4</v>
      </c>
      <c r="D223" s="7">
        <v>2</v>
      </c>
      <c r="E223" s="7">
        <v>0</v>
      </c>
      <c r="F223" s="7">
        <v>6</v>
      </c>
      <c r="G223" s="7">
        <v>6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6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F223" s="6"/>
      <c r="AG223" s="6" t="s">
        <v>439</v>
      </c>
      <c r="AH223" s="16">
        <f t="shared" si="6"/>
        <v>2</v>
      </c>
      <c r="AI223" s="16">
        <f t="shared" si="7"/>
        <v>4</v>
      </c>
    </row>
    <row r="224" spans="1:35" ht="12.3">
      <c r="A224" s="6" t="s">
        <v>231</v>
      </c>
      <c r="B224" s="6" t="s">
        <v>232</v>
      </c>
      <c r="C224" s="7">
        <v>14</v>
      </c>
      <c r="D224" s="7">
        <v>0</v>
      </c>
      <c r="E224" s="7">
        <v>3</v>
      </c>
      <c r="F224" s="7">
        <v>4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4</v>
      </c>
      <c r="W224" s="7">
        <v>0</v>
      </c>
      <c r="X224" s="7">
        <v>0</v>
      </c>
      <c r="Y224" s="7">
        <v>0</v>
      </c>
      <c r="Z224" s="7">
        <v>4</v>
      </c>
      <c r="AA224" s="7">
        <v>0</v>
      </c>
      <c r="AB224" s="7">
        <v>0</v>
      </c>
      <c r="AC224" s="7">
        <v>0</v>
      </c>
      <c r="AD224" s="7">
        <v>0</v>
      </c>
      <c r="AF224" s="6"/>
      <c r="AG224" s="6" t="s">
        <v>440</v>
      </c>
      <c r="AH224" s="16">
        <f t="shared" si="6"/>
        <v>2</v>
      </c>
      <c r="AI224" s="16">
        <f t="shared" si="7"/>
        <v>4</v>
      </c>
    </row>
    <row r="225" spans="1:35" ht="12.3">
      <c r="A225" s="6" t="s">
        <v>231</v>
      </c>
      <c r="B225" s="6" t="s">
        <v>233</v>
      </c>
      <c r="C225" s="7">
        <v>14</v>
      </c>
      <c r="D225" s="7">
        <v>0</v>
      </c>
      <c r="E225" s="7">
        <v>3</v>
      </c>
      <c r="F225" s="7">
        <v>5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5</v>
      </c>
      <c r="W225" s="7">
        <v>0</v>
      </c>
      <c r="X225" s="7">
        <v>0</v>
      </c>
      <c r="Y225" s="7">
        <v>0</v>
      </c>
      <c r="Z225" s="7">
        <v>5</v>
      </c>
      <c r="AA225" s="7">
        <v>0</v>
      </c>
      <c r="AB225" s="7">
        <v>0</v>
      </c>
      <c r="AC225" s="7">
        <v>0</v>
      </c>
      <c r="AD225" s="7">
        <v>0</v>
      </c>
      <c r="AF225" s="6"/>
      <c r="AG225" s="6" t="s">
        <v>441</v>
      </c>
      <c r="AH225" s="16">
        <f t="shared" si="6"/>
        <v>1</v>
      </c>
      <c r="AI225" s="16">
        <f t="shared" si="7"/>
        <v>2</v>
      </c>
    </row>
    <row r="226" spans="1:35" ht="12.3">
      <c r="A226" s="6" t="s">
        <v>234</v>
      </c>
      <c r="B226" s="6" t="s">
        <v>232</v>
      </c>
      <c r="C226" s="7">
        <v>8</v>
      </c>
      <c r="D226" s="7">
        <v>0</v>
      </c>
      <c r="E226" s="7">
        <v>2</v>
      </c>
      <c r="F226" s="7">
        <v>3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3</v>
      </c>
      <c r="W226" s="7">
        <v>0</v>
      </c>
      <c r="X226" s="7">
        <v>0</v>
      </c>
      <c r="Y226" s="7">
        <v>0</v>
      </c>
      <c r="Z226" s="7">
        <v>3</v>
      </c>
      <c r="AA226" s="7">
        <v>0</v>
      </c>
      <c r="AB226" s="7">
        <v>0</v>
      </c>
      <c r="AC226" s="7">
        <v>0</v>
      </c>
      <c r="AD226" s="7">
        <v>0</v>
      </c>
      <c r="AF226" s="6"/>
      <c r="AG226" s="6" t="s">
        <v>443</v>
      </c>
      <c r="AH226" s="16">
        <f t="shared" si="6"/>
        <v>4</v>
      </c>
      <c r="AI226" s="16">
        <f t="shared" si="7"/>
        <v>8</v>
      </c>
    </row>
    <row r="227" spans="1:35" ht="12.3">
      <c r="A227" s="6" t="s">
        <v>235</v>
      </c>
      <c r="B227" s="6" t="s">
        <v>232</v>
      </c>
      <c r="C227" s="7">
        <v>6</v>
      </c>
      <c r="D227" s="7">
        <v>0</v>
      </c>
      <c r="E227" s="7">
        <v>1</v>
      </c>
      <c r="F227" s="7">
        <v>2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2</v>
      </c>
      <c r="W227" s="7">
        <v>0</v>
      </c>
      <c r="X227" s="7">
        <v>0</v>
      </c>
      <c r="Y227" s="7">
        <v>0</v>
      </c>
      <c r="Z227" s="7">
        <v>2</v>
      </c>
      <c r="AA227" s="7">
        <v>0</v>
      </c>
      <c r="AB227" s="7">
        <v>0</v>
      </c>
      <c r="AC227" s="7">
        <v>0</v>
      </c>
      <c r="AD227" s="7">
        <v>0</v>
      </c>
      <c r="AF227" s="6"/>
    </row>
    <row r="228" spans="1:35" ht="12.3">
      <c r="A228" s="6" t="s">
        <v>235</v>
      </c>
      <c r="B228" s="6" t="s">
        <v>233</v>
      </c>
      <c r="C228" s="7">
        <v>6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F228" s="8"/>
    </row>
    <row r="229" spans="1:35" ht="12.3">
      <c r="A229" s="6" t="s">
        <v>236</v>
      </c>
      <c r="B229" s="6" t="s">
        <v>232</v>
      </c>
      <c r="C229" s="7">
        <v>10</v>
      </c>
      <c r="D229" s="7">
        <v>0</v>
      </c>
      <c r="E229" s="7">
        <v>2</v>
      </c>
      <c r="F229" s="7">
        <v>3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3</v>
      </c>
      <c r="W229" s="7">
        <v>0</v>
      </c>
      <c r="X229" s="7">
        <v>0</v>
      </c>
      <c r="Y229" s="7">
        <v>0</v>
      </c>
      <c r="Z229" s="7">
        <v>3</v>
      </c>
      <c r="AA229" s="7">
        <v>0</v>
      </c>
      <c r="AB229" s="7">
        <v>0</v>
      </c>
      <c r="AC229" s="7">
        <v>0</v>
      </c>
      <c r="AD229" s="7">
        <v>0</v>
      </c>
      <c r="AF229" s="8"/>
    </row>
    <row r="230" spans="1:35" ht="12.3">
      <c r="A230" s="6" t="s">
        <v>237</v>
      </c>
      <c r="B230" s="6" t="s">
        <v>232</v>
      </c>
      <c r="C230" s="7">
        <v>12</v>
      </c>
      <c r="D230" s="7">
        <v>0</v>
      </c>
      <c r="E230" s="7">
        <v>2</v>
      </c>
      <c r="F230" s="7">
        <v>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2</v>
      </c>
      <c r="W230" s="7">
        <v>0</v>
      </c>
      <c r="X230" s="7">
        <v>0</v>
      </c>
      <c r="Y230" s="7">
        <v>0</v>
      </c>
      <c r="Z230" s="7">
        <v>2</v>
      </c>
      <c r="AA230" s="7">
        <v>0</v>
      </c>
      <c r="AB230" s="7">
        <v>0</v>
      </c>
      <c r="AC230" s="7">
        <v>0</v>
      </c>
      <c r="AD230" s="7">
        <v>0</v>
      </c>
      <c r="AF230" s="8"/>
    </row>
    <row r="231" spans="1:35" ht="12.3">
      <c r="A231" s="6" t="s">
        <v>237</v>
      </c>
      <c r="B231" s="6" t="s">
        <v>233</v>
      </c>
      <c r="C231" s="7">
        <v>12</v>
      </c>
      <c r="D231" s="7">
        <v>0</v>
      </c>
      <c r="E231" s="7">
        <v>2</v>
      </c>
      <c r="F231" s="7">
        <v>2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2</v>
      </c>
      <c r="W231" s="7">
        <v>0</v>
      </c>
      <c r="X231" s="7">
        <v>0</v>
      </c>
      <c r="Y231" s="7">
        <v>0</v>
      </c>
      <c r="Z231" s="7">
        <v>2</v>
      </c>
      <c r="AA231" s="7">
        <v>0</v>
      </c>
      <c r="AB231" s="7">
        <v>0</v>
      </c>
      <c r="AC231" s="7">
        <v>0</v>
      </c>
      <c r="AD231" s="7">
        <v>0</v>
      </c>
      <c r="AF231" s="8"/>
    </row>
    <row r="232" spans="1:35" ht="12.3">
      <c r="A232" s="6" t="s">
        <v>238</v>
      </c>
      <c r="B232" s="6" t="s">
        <v>232</v>
      </c>
      <c r="C232" s="7">
        <v>24</v>
      </c>
      <c r="D232" s="7">
        <v>0</v>
      </c>
      <c r="E232" s="7">
        <v>5</v>
      </c>
      <c r="F232" s="7">
        <v>7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7</v>
      </c>
      <c r="W232" s="7">
        <v>0</v>
      </c>
      <c r="X232" s="7">
        <v>0</v>
      </c>
      <c r="Y232" s="7">
        <v>0</v>
      </c>
      <c r="Z232" s="7">
        <v>7</v>
      </c>
      <c r="AA232" s="7">
        <v>0</v>
      </c>
      <c r="AB232" s="7">
        <v>0</v>
      </c>
      <c r="AC232" s="7">
        <v>0</v>
      </c>
      <c r="AD232" s="7">
        <v>0</v>
      </c>
      <c r="AF232" s="8"/>
    </row>
    <row r="233" spans="1:35" ht="12.3">
      <c r="A233" s="6" t="s">
        <v>238</v>
      </c>
      <c r="B233" s="6" t="s">
        <v>233</v>
      </c>
      <c r="C233" s="7">
        <v>24</v>
      </c>
      <c r="D233" s="7">
        <v>0</v>
      </c>
      <c r="E233" s="7">
        <v>5</v>
      </c>
      <c r="F233" s="7">
        <v>7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7</v>
      </c>
      <c r="W233" s="7">
        <v>0</v>
      </c>
      <c r="X233" s="7">
        <v>0</v>
      </c>
      <c r="Y233" s="7">
        <v>0</v>
      </c>
      <c r="Z233" s="7">
        <v>7</v>
      </c>
      <c r="AA233" s="7">
        <v>0</v>
      </c>
      <c r="AB233" s="7">
        <v>0</v>
      </c>
      <c r="AC233" s="7">
        <v>0</v>
      </c>
      <c r="AD233" s="7">
        <v>0</v>
      </c>
      <c r="AF233" s="8"/>
    </row>
    <row r="234" spans="1:35" ht="12.3">
      <c r="A234" s="6" t="s">
        <v>238</v>
      </c>
      <c r="B234" s="6" t="s">
        <v>239</v>
      </c>
      <c r="C234" s="7">
        <v>24</v>
      </c>
      <c r="D234" s="7">
        <v>0</v>
      </c>
      <c r="E234" s="7">
        <v>5</v>
      </c>
      <c r="F234" s="7">
        <v>7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7</v>
      </c>
      <c r="W234" s="7">
        <v>0</v>
      </c>
      <c r="X234" s="7">
        <v>0</v>
      </c>
      <c r="Y234" s="7">
        <v>0</v>
      </c>
      <c r="Z234" s="7">
        <v>7</v>
      </c>
      <c r="AA234" s="7">
        <v>0</v>
      </c>
      <c r="AB234" s="7">
        <v>0</v>
      </c>
      <c r="AC234" s="7">
        <v>0</v>
      </c>
      <c r="AD234" s="7">
        <v>0</v>
      </c>
      <c r="AF234" s="8"/>
    </row>
    <row r="235" spans="1:35" ht="12.3">
      <c r="A235" s="6" t="s">
        <v>240</v>
      </c>
      <c r="B235" s="6" t="s">
        <v>241</v>
      </c>
      <c r="C235" s="7">
        <v>8</v>
      </c>
      <c r="D235" s="7">
        <v>0</v>
      </c>
      <c r="E235" s="7">
        <v>2</v>
      </c>
      <c r="F235" s="7">
        <v>3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3</v>
      </c>
      <c r="W235" s="7">
        <v>0</v>
      </c>
      <c r="X235" s="7">
        <v>0</v>
      </c>
      <c r="Y235" s="7">
        <v>0</v>
      </c>
      <c r="Z235" s="7">
        <v>3</v>
      </c>
      <c r="AA235" s="7">
        <v>0</v>
      </c>
      <c r="AB235" s="7">
        <v>0</v>
      </c>
      <c r="AC235" s="7">
        <v>0</v>
      </c>
      <c r="AD235" s="7">
        <v>0</v>
      </c>
      <c r="AF235" s="8"/>
    </row>
    <row r="236" spans="1:35" ht="12.3">
      <c r="A236" s="6" t="s">
        <v>240</v>
      </c>
      <c r="B236" s="6" t="s">
        <v>242</v>
      </c>
      <c r="C236" s="7">
        <v>8</v>
      </c>
      <c r="D236" s="7">
        <v>0</v>
      </c>
      <c r="E236" s="7">
        <v>2</v>
      </c>
      <c r="F236" s="7">
        <v>3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3</v>
      </c>
      <c r="W236" s="7">
        <v>0</v>
      </c>
      <c r="X236" s="7">
        <v>0</v>
      </c>
      <c r="Y236" s="7">
        <v>0</v>
      </c>
      <c r="Z236" s="7">
        <v>3</v>
      </c>
      <c r="AA236" s="7">
        <v>0</v>
      </c>
      <c r="AB236" s="7">
        <v>0</v>
      </c>
      <c r="AC236" s="7">
        <v>0</v>
      </c>
      <c r="AD236" s="7">
        <v>0</v>
      </c>
      <c r="AF236" s="8"/>
    </row>
    <row r="237" spans="1:35" ht="12.3">
      <c r="A237" s="6" t="s">
        <v>240</v>
      </c>
      <c r="B237" s="6" t="s">
        <v>243</v>
      </c>
      <c r="C237" s="7">
        <v>8</v>
      </c>
      <c r="D237" s="7">
        <v>0</v>
      </c>
      <c r="E237" s="7">
        <v>2</v>
      </c>
      <c r="F237" s="7">
        <v>3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3</v>
      </c>
      <c r="W237" s="7">
        <v>0</v>
      </c>
      <c r="X237" s="7">
        <v>0</v>
      </c>
      <c r="Y237" s="7">
        <v>0</v>
      </c>
      <c r="Z237" s="7">
        <v>3</v>
      </c>
      <c r="AA237" s="7">
        <v>0</v>
      </c>
      <c r="AB237" s="7">
        <v>0</v>
      </c>
      <c r="AC237" s="7">
        <v>0</v>
      </c>
      <c r="AD237" s="7">
        <v>0</v>
      </c>
      <c r="AF237" s="8"/>
    </row>
    <row r="238" spans="1:35" ht="12.3">
      <c r="A238" s="6" t="s">
        <v>240</v>
      </c>
      <c r="B238" s="6" t="s">
        <v>244</v>
      </c>
      <c r="C238" s="7">
        <v>8</v>
      </c>
      <c r="D238" s="7">
        <v>0</v>
      </c>
      <c r="E238" s="7">
        <v>2</v>
      </c>
      <c r="F238" s="7">
        <v>3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3</v>
      </c>
      <c r="W238" s="7">
        <v>0</v>
      </c>
      <c r="X238" s="7">
        <v>0</v>
      </c>
      <c r="Y238" s="7">
        <v>0</v>
      </c>
      <c r="Z238" s="7">
        <v>3</v>
      </c>
      <c r="AA238" s="7">
        <v>0</v>
      </c>
      <c r="AB238" s="7">
        <v>0</v>
      </c>
      <c r="AC238" s="7">
        <v>0</v>
      </c>
      <c r="AD238" s="7">
        <v>0</v>
      </c>
      <c r="AF238" s="8"/>
    </row>
    <row r="239" spans="1:35" ht="12.3">
      <c r="A239" s="6" t="s">
        <v>245</v>
      </c>
      <c r="B239" s="6" t="s">
        <v>246</v>
      </c>
      <c r="C239" s="7">
        <v>6</v>
      </c>
      <c r="D239" s="7">
        <v>0</v>
      </c>
      <c r="E239" s="7">
        <v>1</v>
      </c>
      <c r="F239" s="7">
        <v>2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2</v>
      </c>
      <c r="W239" s="7">
        <v>0</v>
      </c>
      <c r="X239" s="7">
        <v>0</v>
      </c>
      <c r="Y239" s="7">
        <v>0</v>
      </c>
      <c r="Z239" s="7">
        <v>2</v>
      </c>
      <c r="AA239" s="7">
        <v>0</v>
      </c>
      <c r="AB239" s="7">
        <v>0</v>
      </c>
      <c r="AC239" s="7">
        <v>0</v>
      </c>
      <c r="AD239" s="7">
        <v>0</v>
      </c>
      <c r="AF239" s="8"/>
    </row>
    <row r="240" spans="1:35" ht="12.3">
      <c r="A240" s="6" t="s">
        <v>247</v>
      </c>
      <c r="B240" s="6" t="s">
        <v>248</v>
      </c>
      <c r="C240" s="7">
        <v>2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F240" s="8"/>
    </row>
    <row r="241" spans="1:33" ht="12.3">
      <c r="A241" s="6" t="s">
        <v>249</v>
      </c>
      <c r="B241" s="6" t="s">
        <v>250</v>
      </c>
      <c r="C241" s="7">
        <v>2</v>
      </c>
      <c r="D241" s="7">
        <v>1</v>
      </c>
      <c r="E241" s="7">
        <v>0</v>
      </c>
      <c r="F241" s="7">
        <v>1</v>
      </c>
      <c r="G241" s="7">
        <v>1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1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F241" s="8"/>
    </row>
    <row r="242" spans="1:33" ht="12.3">
      <c r="A242" s="6" t="s">
        <v>249</v>
      </c>
      <c r="B242" s="6" t="s">
        <v>251</v>
      </c>
      <c r="C242" s="7">
        <v>2</v>
      </c>
      <c r="D242" s="7">
        <v>0</v>
      </c>
      <c r="E242" s="7">
        <v>1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F242" s="8"/>
    </row>
    <row r="243" spans="1:33" ht="12.3">
      <c r="A243" s="6" t="s">
        <v>252</v>
      </c>
      <c r="B243" s="6" t="s">
        <v>253</v>
      </c>
      <c r="C243" s="7">
        <v>2</v>
      </c>
      <c r="D243" s="7">
        <v>1</v>
      </c>
      <c r="E243" s="7">
        <v>0</v>
      </c>
      <c r="F243" s="7">
        <v>2</v>
      </c>
      <c r="G243" s="7">
        <v>1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1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1</v>
      </c>
      <c r="W243" s="7">
        <v>0</v>
      </c>
      <c r="X243" s="7">
        <v>0</v>
      </c>
      <c r="Y243" s="7">
        <v>0</v>
      </c>
      <c r="Z243" s="7">
        <v>1</v>
      </c>
      <c r="AA243" s="7">
        <v>0</v>
      </c>
      <c r="AB243" s="7">
        <v>0</v>
      </c>
      <c r="AC243" s="7">
        <v>0</v>
      </c>
      <c r="AD243" s="7">
        <v>0</v>
      </c>
      <c r="AF243" s="8"/>
    </row>
    <row r="244" spans="1:33" ht="12.3">
      <c r="A244" s="6" t="s">
        <v>252</v>
      </c>
      <c r="B244" s="6" t="s">
        <v>251</v>
      </c>
      <c r="C244" s="7">
        <v>2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F244" s="8"/>
    </row>
    <row r="245" spans="1:33" ht="12.3">
      <c r="A245" s="6" t="s">
        <v>254</v>
      </c>
      <c r="B245" s="6" t="s">
        <v>255</v>
      </c>
      <c r="C245" s="7">
        <v>2</v>
      </c>
      <c r="D245" s="7">
        <v>0</v>
      </c>
      <c r="E245" s="7">
        <v>1</v>
      </c>
      <c r="F245" s="7">
        <v>3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3</v>
      </c>
      <c r="W245" s="7">
        <v>0</v>
      </c>
      <c r="X245" s="7">
        <v>0</v>
      </c>
      <c r="Y245" s="7">
        <v>0</v>
      </c>
      <c r="Z245" s="7">
        <v>1</v>
      </c>
      <c r="AA245" s="7">
        <v>2</v>
      </c>
      <c r="AB245" s="7">
        <v>0</v>
      </c>
      <c r="AC245" s="7">
        <v>0</v>
      </c>
      <c r="AD245" s="7">
        <v>0</v>
      </c>
      <c r="AF245" s="8"/>
    </row>
    <row r="246" spans="1:33" ht="12.3">
      <c r="A246" s="6" t="s">
        <v>256</v>
      </c>
      <c r="B246" s="6" t="s">
        <v>257</v>
      </c>
      <c r="C246" s="7">
        <v>8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F246" s="8"/>
    </row>
    <row r="247" spans="1:33" ht="12.3">
      <c r="A247" s="6" t="s">
        <v>258</v>
      </c>
      <c r="B247" s="6" t="s">
        <v>229</v>
      </c>
      <c r="C247" s="7">
        <v>4</v>
      </c>
      <c r="D247" s="7">
        <v>2</v>
      </c>
      <c r="E247" s="7">
        <v>1</v>
      </c>
      <c r="F247" s="7">
        <v>17</v>
      </c>
      <c r="G247" s="7">
        <v>15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15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2</v>
      </c>
      <c r="W247" s="7">
        <v>0</v>
      </c>
      <c r="X247" s="7">
        <v>0</v>
      </c>
      <c r="Y247" s="7">
        <v>0</v>
      </c>
      <c r="Z247" s="7">
        <v>2</v>
      </c>
      <c r="AA247" s="7">
        <v>0</v>
      </c>
      <c r="AB247" s="7">
        <v>0</v>
      </c>
      <c r="AC247" s="7">
        <v>0</v>
      </c>
      <c r="AD247" s="7">
        <v>0</v>
      </c>
      <c r="AF247" s="8"/>
    </row>
    <row r="248" spans="1:33" ht="12.3">
      <c r="A248" s="6" t="s">
        <v>259</v>
      </c>
      <c r="B248" s="6" t="s">
        <v>229</v>
      </c>
      <c r="C248" s="7">
        <v>4</v>
      </c>
      <c r="D248" s="7">
        <v>2</v>
      </c>
      <c r="E248" s="7">
        <v>0</v>
      </c>
      <c r="F248" s="7">
        <v>6</v>
      </c>
      <c r="G248" s="7">
        <v>6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6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F248" s="8"/>
    </row>
    <row r="249" spans="1:33" ht="12.3">
      <c r="A249" s="6" t="s">
        <v>260</v>
      </c>
      <c r="B249" s="6" t="s">
        <v>261</v>
      </c>
      <c r="C249" s="7">
        <v>24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F249" s="8"/>
    </row>
    <row r="250" spans="1:33" ht="12.3">
      <c r="A250" s="6" t="s">
        <v>260</v>
      </c>
      <c r="B250" s="6" t="s">
        <v>262</v>
      </c>
      <c r="C250" s="7">
        <v>24</v>
      </c>
      <c r="D250" s="7">
        <v>0</v>
      </c>
      <c r="E250" s="7">
        <v>6</v>
      </c>
      <c r="F250" s="7">
        <v>10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10</v>
      </c>
      <c r="W250" s="7">
        <v>0</v>
      </c>
      <c r="X250" s="7">
        <v>0</v>
      </c>
      <c r="Y250" s="7">
        <v>0</v>
      </c>
      <c r="Z250" s="7">
        <v>10</v>
      </c>
      <c r="AA250" s="7">
        <v>0</v>
      </c>
      <c r="AB250" s="7">
        <v>0</v>
      </c>
      <c r="AC250" s="7">
        <v>0</v>
      </c>
      <c r="AD250" s="7">
        <v>0</v>
      </c>
      <c r="AE250" s="7"/>
      <c r="AF250" s="8"/>
      <c r="AG250" s="8"/>
    </row>
    <row r="251" spans="1:33" ht="12.3">
      <c r="A251" s="6" t="s">
        <v>263</v>
      </c>
      <c r="B251" s="6" t="s">
        <v>160</v>
      </c>
      <c r="C251" s="7">
        <v>6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/>
      <c r="AF251" s="8"/>
      <c r="AG251" s="8"/>
    </row>
    <row r="252" spans="1:33" ht="12.3">
      <c r="A252" s="6" t="s">
        <v>263</v>
      </c>
      <c r="B252" s="6" t="s">
        <v>264</v>
      </c>
      <c r="C252" s="7">
        <v>6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/>
      <c r="AF252" s="8"/>
      <c r="AG252" s="8"/>
    </row>
    <row r="253" spans="1:33" ht="12.3">
      <c r="A253" s="6" t="s">
        <v>263</v>
      </c>
      <c r="B253" s="6" t="s">
        <v>265</v>
      </c>
      <c r="C253" s="7">
        <v>6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/>
      <c r="AF253" s="8"/>
      <c r="AG253" s="8"/>
    </row>
    <row r="254" spans="1:33" ht="12.3">
      <c r="A254" s="6" t="s">
        <v>263</v>
      </c>
      <c r="B254" s="6" t="s">
        <v>266</v>
      </c>
      <c r="C254" s="7">
        <v>6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/>
      <c r="AF254" s="8"/>
      <c r="AG254" s="8"/>
    </row>
    <row r="255" spans="1:33" ht="12.3">
      <c r="A255" s="6" t="s">
        <v>263</v>
      </c>
      <c r="B255" s="6" t="s">
        <v>112</v>
      </c>
      <c r="C255" s="7">
        <v>6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/>
      <c r="AF255" s="8"/>
      <c r="AG255" s="8"/>
    </row>
    <row r="256" spans="1:33" ht="12.3">
      <c r="A256" s="6" t="s">
        <v>263</v>
      </c>
      <c r="B256" s="6" t="s">
        <v>267</v>
      </c>
      <c r="C256" s="7">
        <v>6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/>
      <c r="AF256" s="8"/>
      <c r="AG256" s="8"/>
    </row>
    <row r="257" spans="1:32" ht="12.3">
      <c r="A257" s="6" t="s">
        <v>263</v>
      </c>
      <c r="B257" s="6" t="s">
        <v>268</v>
      </c>
      <c r="C257" s="7">
        <v>6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F257" s="8"/>
    </row>
    <row r="258" spans="1:32" ht="12.3">
      <c r="A258" s="6" t="s">
        <v>263</v>
      </c>
      <c r="B258" s="6" t="s">
        <v>269</v>
      </c>
      <c r="C258" s="7">
        <v>6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F258" s="8"/>
    </row>
    <row r="259" spans="1:32" ht="12.3">
      <c r="A259" s="6" t="s">
        <v>263</v>
      </c>
      <c r="B259" s="6" t="s">
        <v>270</v>
      </c>
      <c r="C259" s="7">
        <v>6</v>
      </c>
      <c r="D259" s="7">
        <v>1</v>
      </c>
      <c r="E259" s="7">
        <v>1</v>
      </c>
      <c r="F259" s="7">
        <v>6</v>
      </c>
      <c r="G259" s="7">
        <v>5</v>
      </c>
      <c r="H259" s="7">
        <v>0</v>
      </c>
      <c r="I259" s="7">
        <v>0</v>
      </c>
      <c r="J259" s="7">
        <v>0</v>
      </c>
      <c r="K259" s="7">
        <v>5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1</v>
      </c>
      <c r="W259" s="7">
        <v>0</v>
      </c>
      <c r="X259" s="7">
        <v>0</v>
      </c>
      <c r="Y259" s="7">
        <v>0</v>
      </c>
      <c r="Z259" s="7">
        <v>0</v>
      </c>
      <c r="AA259" s="7">
        <v>1</v>
      </c>
      <c r="AB259" s="7">
        <v>0</v>
      </c>
      <c r="AC259" s="7">
        <v>0</v>
      </c>
      <c r="AD259" s="7">
        <v>0</v>
      </c>
      <c r="AF259" s="8"/>
    </row>
    <row r="260" spans="1:32" ht="12.3">
      <c r="A260" s="6" t="s">
        <v>263</v>
      </c>
      <c r="B260" s="6" t="s">
        <v>271</v>
      </c>
      <c r="C260" s="7">
        <v>6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F260" s="8"/>
    </row>
    <row r="261" spans="1:32" ht="12.3">
      <c r="A261" s="6" t="s">
        <v>263</v>
      </c>
      <c r="B261" s="6" t="s">
        <v>272</v>
      </c>
      <c r="C261" s="7">
        <v>6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F261" s="8"/>
    </row>
    <row r="262" spans="1:32" ht="12.3">
      <c r="A262" s="6" t="s">
        <v>263</v>
      </c>
      <c r="B262" s="6" t="s">
        <v>273</v>
      </c>
      <c r="C262" s="7">
        <v>6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F262" s="8"/>
    </row>
    <row r="263" spans="1:32" ht="12.3">
      <c r="A263" s="6" t="s">
        <v>263</v>
      </c>
      <c r="B263" s="6" t="s">
        <v>132</v>
      </c>
      <c r="C263" s="7">
        <v>6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F263" s="8"/>
    </row>
    <row r="264" spans="1:32" ht="12.3">
      <c r="A264" s="6" t="s">
        <v>263</v>
      </c>
      <c r="B264" s="6" t="s">
        <v>261</v>
      </c>
      <c r="C264" s="7">
        <v>6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F264" s="8"/>
    </row>
    <row r="265" spans="1:32" ht="12.3">
      <c r="A265" s="6" t="s">
        <v>263</v>
      </c>
      <c r="B265" s="6" t="s">
        <v>262</v>
      </c>
      <c r="C265" s="7">
        <v>6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F265" s="8"/>
    </row>
    <row r="266" spans="1:32" ht="12.3">
      <c r="A266" s="6" t="s">
        <v>274</v>
      </c>
      <c r="B266" s="6" t="s">
        <v>269</v>
      </c>
      <c r="C266" s="7">
        <v>4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F266" s="8"/>
    </row>
    <row r="267" spans="1:32" ht="12.3">
      <c r="A267" s="6" t="s">
        <v>274</v>
      </c>
      <c r="B267" s="6" t="s">
        <v>270</v>
      </c>
      <c r="C267" s="7">
        <v>4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F267" s="8"/>
    </row>
    <row r="268" spans="1:32" ht="12.3">
      <c r="A268" s="6" t="s">
        <v>274</v>
      </c>
      <c r="B268" s="6" t="s">
        <v>271</v>
      </c>
      <c r="C268" s="7">
        <v>4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F268" s="8"/>
    </row>
    <row r="269" spans="1:32" ht="12.3">
      <c r="A269" s="6" t="s">
        <v>274</v>
      </c>
      <c r="B269" s="6" t="s">
        <v>272</v>
      </c>
      <c r="C269" s="7">
        <v>4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F269" s="8"/>
    </row>
    <row r="270" spans="1:32" ht="12.3">
      <c r="A270" s="6" t="s">
        <v>274</v>
      </c>
      <c r="B270" s="6" t="s">
        <v>273</v>
      </c>
      <c r="C270" s="7">
        <v>4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F270" s="8"/>
    </row>
    <row r="271" spans="1:32" ht="12.3">
      <c r="A271" s="6" t="s">
        <v>274</v>
      </c>
      <c r="B271" s="6" t="s">
        <v>132</v>
      </c>
      <c r="C271" s="7">
        <v>4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F271" s="8"/>
    </row>
    <row r="272" spans="1:32" ht="12.3">
      <c r="A272" s="6" t="s">
        <v>274</v>
      </c>
      <c r="B272" s="6" t="s">
        <v>261</v>
      </c>
      <c r="C272" s="7">
        <v>4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F272" s="8"/>
    </row>
    <row r="273" spans="1:32" ht="12.3">
      <c r="A273" s="6" t="s">
        <v>274</v>
      </c>
      <c r="B273" s="6" t="s">
        <v>262</v>
      </c>
      <c r="C273" s="7">
        <v>4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F273" s="8"/>
    </row>
    <row r="274" spans="1:32" ht="12.3">
      <c r="A274" s="6" t="s">
        <v>275</v>
      </c>
      <c r="B274" s="6" t="s">
        <v>112</v>
      </c>
      <c r="C274" s="7">
        <v>6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F274" s="8"/>
    </row>
    <row r="275" spans="1:32" ht="12.3">
      <c r="A275" s="6" t="s">
        <v>275</v>
      </c>
      <c r="B275" s="6" t="s">
        <v>267</v>
      </c>
      <c r="C275" s="7">
        <v>6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F275" s="8"/>
    </row>
    <row r="276" spans="1:32" ht="12.3">
      <c r="A276" s="6" t="s">
        <v>275</v>
      </c>
      <c r="B276" s="6" t="s">
        <v>268</v>
      </c>
      <c r="C276" s="7">
        <v>6</v>
      </c>
      <c r="D276" s="7">
        <v>0</v>
      </c>
      <c r="E276" s="7">
        <v>1</v>
      </c>
      <c r="F276" s="7">
        <v>1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1</v>
      </c>
      <c r="W276" s="7">
        <v>0</v>
      </c>
      <c r="X276" s="7">
        <v>0</v>
      </c>
      <c r="Y276" s="7">
        <v>0</v>
      </c>
      <c r="Z276" s="7">
        <v>1</v>
      </c>
      <c r="AA276" s="7">
        <v>0</v>
      </c>
      <c r="AB276" s="7">
        <v>0</v>
      </c>
      <c r="AC276" s="7">
        <v>0</v>
      </c>
      <c r="AD276" s="7">
        <v>0</v>
      </c>
      <c r="AF276" s="8"/>
    </row>
    <row r="277" spans="1:32" ht="12.3">
      <c r="A277" s="6" t="s">
        <v>275</v>
      </c>
      <c r="B277" s="6" t="s">
        <v>269</v>
      </c>
      <c r="C277" s="7">
        <v>6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F277" s="8"/>
    </row>
    <row r="278" spans="1:32" ht="12.3">
      <c r="A278" s="6" t="s">
        <v>275</v>
      </c>
      <c r="B278" s="6" t="s">
        <v>270</v>
      </c>
      <c r="C278" s="7">
        <v>6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F278" s="8"/>
    </row>
    <row r="279" spans="1:32" ht="12.3">
      <c r="A279" s="6" t="s">
        <v>275</v>
      </c>
      <c r="B279" s="6" t="s">
        <v>271</v>
      </c>
      <c r="C279" s="7">
        <v>6</v>
      </c>
      <c r="D279" s="7">
        <v>0</v>
      </c>
      <c r="E279" s="7">
        <v>1</v>
      </c>
      <c r="F279" s="7">
        <v>1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1</v>
      </c>
      <c r="W279" s="7">
        <v>0</v>
      </c>
      <c r="X279" s="7">
        <v>0</v>
      </c>
      <c r="Y279" s="7">
        <v>0</v>
      </c>
      <c r="Z279" s="7">
        <v>1</v>
      </c>
      <c r="AA279" s="7">
        <v>0</v>
      </c>
      <c r="AB279" s="7">
        <v>0</v>
      </c>
      <c r="AC279" s="7">
        <v>0</v>
      </c>
      <c r="AD279" s="7">
        <v>0</v>
      </c>
      <c r="AF279" s="8"/>
    </row>
    <row r="280" spans="1:32" ht="12.3">
      <c r="A280" s="6" t="s">
        <v>275</v>
      </c>
      <c r="B280" s="6" t="s">
        <v>272</v>
      </c>
      <c r="C280" s="7">
        <v>6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F280" s="8"/>
    </row>
    <row r="281" spans="1:32" ht="12.3">
      <c r="A281" s="6" t="s">
        <v>275</v>
      </c>
      <c r="B281" s="6" t="s">
        <v>273</v>
      </c>
      <c r="C281" s="7">
        <v>6</v>
      </c>
      <c r="D281" s="7">
        <v>0</v>
      </c>
      <c r="E281" s="7">
        <v>1</v>
      </c>
      <c r="F281" s="7">
        <v>1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1</v>
      </c>
      <c r="W281" s="7">
        <v>0</v>
      </c>
      <c r="X281" s="7">
        <v>0</v>
      </c>
      <c r="Y281" s="7">
        <v>0</v>
      </c>
      <c r="Z281" s="7">
        <v>1</v>
      </c>
      <c r="AA281" s="7">
        <v>0</v>
      </c>
      <c r="AB281" s="7">
        <v>0</v>
      </c>
      <c r="AC281" s="7">
        <v>0</v>
      </c>
      <c r="AD281" s="7">
        <v>0</v>
      </c>
      <c r="AF281" s="8"/>
    </row>
    <row r="282" spans="1:32" ht="12.3">
      <c r="A282" s="6" t="s">
        <v>275</v>
      </c>
      <c r="B282" s="6" t="s">
        <v>132</v>
      </c>
      <c r="C282" s="7">
        <v>6</v>
      </c>
      <c r="D282" s="7">
        <v>1</v>
      </c>
      <c r="E282" s="7">
        <v>1</v>
      </c>
      <c r="F282" s="7">
        <v>7</v>
      </c>
      <c r="G282" s="7">
        <v>5</v>
      </c>
      <c r="H282" s="7">
        <v>0</v>
      </c>
      <c r="I282" s="7">
        <v>0</v>
      </c>
      <c r="J282" s="7">
        <v>0</v>
      </c>
      <c r="K282" s="7">
        <v>5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2</v>
      </c>
      <c r="W282" s="7">
        <v>0</v>
      </c>
      <c r="X282" s="7">
        <v>0</v>
      </c>
      <c r="Y282" s="7">
        <v>0</v>
      </c>
      <c r="Z282" s="7">
        <v>1</v>
      </c>
      <c r="AA282" s="7">
        <v>1</v>
      </c>
      <c r="AB282" s="7">
        <v>0</v>
      </c>
      <c r="AC282" s="7">
        <v>0</v>
      </c>
      <c r="AD282" s="7">
        <v>0</v>
      </c>
      <c r="AF282" s="8"/>
    </row>
    <row r="283" spans="1:32" ht="12.3">
      <c r="A283" s="6" t="s">
        <v>275</v>
      </c>
      <c r="B283" s="6" t="s">
        <v>261</v>
      </c>
      <c r="C283" s="7">
        <v>6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F283" s="8"/>
    </row>
    <row r="284" spans="1:32" ht="12.3">
      <c r="A284" s="6" t="s">
        <v>275</v>
      </c>
      <c r="B284" s="6" t="s">
        <v>262</v>
      </c>
      <c r="C284" s="7">
        <v>6</v>
      </c>
      <c r="D284" s="7">
        <v>0</v>
      </c>
      <c r="E284" s="7">
        <v>1</v>
      </c>
      <c r="F284" s="7">
        <v>2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2</v>
      </c>
      <c r="W284" s="7">
        <v>0</v>
      </c>
      <c r="X284" s="7">
        <v>0</v>
      </c>
      <c r="Y284" s="7">
        <v>0</v>
      </c>
      <c r="Z284" s="7">
        <v>2</v>
      </c>
      <c r="AA284" s="7">
        <v>0</v>
      </c>
      <c r="AB284" s="7">
        <v>0</v>
      </c>
      <c r="AC284" s="7">
        <v>0</v>
      </c>
      <c r="AD284" s="7">
        <v>0</v>
      </c>
      <c r="AF284" s="8"/>
    </row>
    <row r="285" spans="1:32" ht="12.3">
      <c r="A285" s="6" t="s">
        <v>276</v>
      </c>
      <c r="B285" s="6" t="s">
        <v>269</v>
      </c>
      <c r="C285" s="7">
        <v>2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F285" s="8"/>
    </row>
    <row r="286" spans="1:32" ht="12.3">
      <c r="A286" s="6" t="s">
        <v>276</v>
      </c>
      <c r="B286" s="6" t="s">
        <v>270</v>
      </c>
      <c r="C286" s="7">
        <v>2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F286" s="8"/>
    </row>
    <row r="287" spans="1:32" ht="12.3">
      <c r="A287" s="6" t="s">
        <v>276</v>
      </c>
      <c r="B287" s="6" t="s">
        <v>271</v>
      </c>
      <c r="C287" s="7">
        <v>2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F287" s="8"/>
    </row>
    <row r="288" spans="1:32" ht="12.3">
      <c r="A288" s="6" t="s">
        <v>276</v>
      </c>
      <c r="B288" s="6" t="s">
        <v>272</v>
      </c>
      <c r="C288" s="7">
        <v>2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F288" s="8"/>
    </row>
    <row r="289" spans="1:33" ht="12.3">
      <c r="A289" s="6" t="s">
        <v>276</v>
      </c>
      <c r="B289" s="6" t="s">
        <v>132</v>
      </c>
      <c r="C289" s="7">
        <v>2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F289" s="8"/>
    </row>
    <row r="290" spans="1:33" ht="12.3">
      <c r="A290" s="6" t="s">
        <v>276</v>
      </c>
      <c r="B290" s="6" t="s">
        <v>261</v>
      </c>
      <c r="C290" s="7">
        <v>2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F290" s="8"/>
    </row>
    <row r="291" spans="1:33" ht="12.3">
      <c r="A291" s="6" t="s">
        <v>276</v>
      </c>
      <c r="B291" s="6" t="s">
        <v>262</v>
      </c>
      <c r="C291" s="7">
        <v>2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F291" s="8"/>
    </row>
    <row r="292" spans="1:33" ht="12.3">
      <c r="A292" s="6" t="s">
        <v>277</v>
      </c>
      <c r="B292" s="6" t="s">
        <v>132</v>
      </c>
      <c r="C292" s="7">
        <v>6</v>
      </c>
      <c r="D292" s="7">
        <v>1</v>
      </c>
      <c r="E292" s="7">
        <v>1</v>
      </c>
      <c r="F292" s="7">
        <v>8</v>
      </c>
      <c r="G292" s="7">
        <v>5</v>
      </c>
      <c r="H292" s="7">
        <v>0</v>
      </c>
      <c r="I292" s="7">
        <v>0</v>
      </c>
      <c r="J292" s="7">
        <v>0</v>
      </c>
      <c r="K292" s="7">
        <v>5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3</v>
      </c>
      <c r="W292" s="7">
        <v>0</v>
      </c>
      <c r="X292" s="7">
        <v>0</v>
      </c>
      <c r="Y292" s="7">
        <v>0</v>
      </c>
      <c r="Z292" s="7">
        <v>0</v>
      </c>
      <c r="AA292" s="7">
        <v>3</v>
      </c>
      <c r="AB292" s="7">
        <v>0</v>
      </c>
      <c r="AC292" s="7">
        <v>0</v>
      </c>
      <c r="AD292" s="7">
        <v>0</v>
      </c>
      <c r="AE292" s="7"/>
      <c r="AF292" s="8"/>
      <c r="AG292" s="8"/>
    </row>
    <row r="293" spans="1:33" ht="12.3">
      <c r="A293" s="6" t="s">
        <v>277</v>
      </c>
      <c r="B293" s="6" t="s">
        <v>261</v>
      </c>
      <c r="C293" s="7">
        <v>6</v>
      </c>
      <c r="D293" s="7">
        <v>1</v>
      </c>
      <c r="E293" s="7">
        <v>0</v>
      </c>
      <c r="F293" s="7">
        <v>8</v>
      </c>
      <c r="G293" s="7">
        <v>8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5</v>
      </c>
      <c r="O293" s="7">
        <v>0</v>
      </c>
      <c r="P293" s="7">
        <v>0</v>
      </c>
      <c r="Q293" s="7">
        <v>0</v>
      </c>
      <c r="R293" s="7">
        <v>3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F293" s="8"/>
    </row>
    <row r="294" spans="1:33" ht="12.3">
      <c r="A294" s="6" t="s">
        <v>277</v>
      </c>
      <c r="B294" s="6" t="s">
        <v>262</v>
      </c>
      <c r="C294" s="7">
        <v>6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F294" s="8"/>
    </row>
    <row r="295" spans="1:33" ht="12.3">
      <c r="A295" s="6" t="s">
        <v>278</v>
      </c>
      <c r="B295" s="6" t="s">
        <v>279</v>
      </c>
      <c r="C295" s="7">
        <v>2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F295" s="8"/>
    </row>
    <row r="296" spans="1:33" ht="12.3">
      <c r="A296" s="6" t="s">
        <v>278</v>
      </c>
      <c r="B296" s="6" t="s">
        <v>280</v>
      </c>
      <c r="C296" s="7">
        <v>2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F296" s="8"/>
    </row>
    <row r="297" spans="1:33" ht="12.3">
      <c r="A297" s="6" t="s">
        <v>278</v>
      </c>
      <c r="B297" s="6" t="s">
        <v>281</v>
      </c>
      <c r="C297" s="7">
        <v>2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F297" s="8"/>
    </row>
    <row r="298" spans="1:33" ht="12.3">
      <c r="A298" s="6" t="s">
        <v>278</v>
      </c>
      <c r="B298" s="6" t="s">
        <v>282</v>
      </c>
      <c r="C298" s="7">
        <v>2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F298" s="8"/>
    </row>
    <row r="299" spans="1:33" ht="12.3">
      <c r="A299" s="6" t="s">
        <v>278</v>
      </c>
      <c r="B299" s="6" t="s">
        <v>283</v>
      </c>
      <c r="C299" s="7">
        <v>2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F299" s="8"/>
    </row>
    <row r="300" spans="1:33" ht="12.3">
      <c r="A300" s="6" t="s">
        <v>278</v>
      </c>
      <c r="B300" s="6" t="s">
        <v>284</v>
      </c>
      <c r="C300" s="7">
        <v>2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F300" s="8"/>
    </row>
    <row r="301" spans="1:33" ht="12.3">
      <c r="A301" s="6" t="s">
        <v>278</v>
      </c>
      <c r="B301" s="6" t="s">
        <v>160</v>
      </c>
      <c r="C301" s="7">
        <v>2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F301" s="8"/>
    </row>
    <row r="302" spans="1:33" ht="12.3">
      <c r="A302" s="6" t="s">
        <v>278</v>
      </c>
      <c r="B302" s="6" t="s">
        <v>264</v>
      </c>
      <c r="C302" s="7">
        <v>2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F302" s="8"/>
    </row>
    <row r="303" spans="1:33" ht="12.3">
      <c r="A303" s="6" t="s">
        <v>278</v>
      </c>
      <c r="B303" s="6" t="s">
        <v>265</v>
      </c>
      <c r="C303" s="7">
        <v>2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F303" s="8"/>
    </row>
    <row r="304" spans="1:33" ht="12.3">
      <c r="A304" s="6" t="s">
        <v>278</v>
      </c>
      <c r="B304" s="6" t="s">
        <v>266</v>
      </c>
      <c r="C304" s="7">
        <v>2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F304" s="8"/>
    </row>
    <row r="305" spans="1:32" ht="12.3">
      <c r="A305" s="6" t="s">
        <v>278</v>
      </c>
      <c r="B305" s="6" t="s">
        <v>112</v>
      </c>
      <c r="C305" s="7">
        <v>2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F305" s="8"/>
    </row>
    <row r="306" spans="1:32" ht="12.3">
      <c r="A306" s="6" t="s">
        <v>278</v>
      </c>
      <c r="B306" s="6" t="s">
        <v>267</v>
      </c>
      <c r="C306" s="7">
        <v>2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F306" s="8"/>
    </row>
    <row r="307" spans="1:32" ht="12.3">
      <c r="A307" s="6" t="s">
        <v>278</v>
      </c>
      <c r="B307" s="6" t="s">
        <v>268</v>
      </c>
      <c r="C307" s="7">
        <v>2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F307" s="8"/>
    </row>
    <row r="308" spans="1:32" ht="12.3">
      <c r="A308" s="6" t="s">
        <v>278</v>
      </c>
      <c r="B308" s="6" t="s">
        <v>269</v>
      </c>
      <c r="C308" s="7">
        <v>2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F308" s="8"/>
    </row>
    <row r="309" spans="1:32" ht="12.3">
      <c r="A309" s="6" t="s">
        <v>278</v>
      </c>
      <c r="B309" s="6" t="s">
        <v>270</v>
      </c>
      <c r="C309" s="7">
        <v>2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F309" s="8"/>
    </row>
    <row r="310" spans="1:32" ht="12.3">
      <c r="A310" s="6" t="s">
        <v>278</v>
      </c>
      <c r="B310" s="6" t="s">
        <v>271</v>
      </c>
      <c r="C310" s="7">
        <v>2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F310" s="8"/>
    </row>
    <row r="311" spans="1:32" ht="12.3">
      <c r="A311" s="6" t="s">
        <v>278</v>
      </c>
      <c r="B311" s="6" t="s">
        <v>272</v>
      </c>
      <c r="C311" s="7">
        <v>2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F311" s="8"/>
    </row>
    <row r="312" spans="1:32" ht="12.3">
      <c r="A312" s="6" t="s">
        <v>278</v>
      </c>
      <c r="B312" s="6" t="s">
        <v>273</v>
      </c>
      <c r="C312" s="7">
        <v>2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F312" s="8"/>
    </row>
    <row r="313" spans="1:32" ht="12.3">
      <c r="A313" s="6" t="s">
        <v>278</v>
      </c>
      <c r="B313" s="6" t="s">
        <v>132</v>
      </c>
      <c r="C313" s="7">
        <v>2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F313" s="8"/>
    </row>
    <row r="314" spans="1:32" ht="12.3">
      <c r="A314" s="6" t="s">
        <v>278</v>
      </c>
      <c r="B314" s="6" t="s">
        <v>261</v>
      </c>
      <c r="C314" s="7">
        <v>2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F314" s="8"/>
    </row>
    <row r="315" spans="1:32" ht="12.3">
      <c r="A315" s="6" t="s">
        <v>278</v>
      </c>
      <c r="B315" s="6" t="s">
        <v>262</v>
      </c>
      <c r="C315" s="7">
        <v>2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F315" s="8"/>
    </row>
    <row r="316" spans="1:32" ht="12.3">
      <c r="A316" s="6" t="s">
        <v>285</v>
      </c>
      <c r="B316" s="6" t="s">
        <v>271</v>
      </c>
      <c r="C316" s="7">
        <v>2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F316" s="8"/>
    </row>
    <row r="317" spans="1:32" ht="12.3">
      <c r="A317" s="6" t="s">
        <v>285</v>
      </c>
      <c r="B317" s="6" t="s">
        <v>272</v>
      </c>
      <c r="C317" s="7">
        <v>2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F317" s="8"/>
    </row>
    <row r="318" spans="1:32" ht="12.3">
      <c r="A318" s="6" t="s">
        <v>285</v>
      </c>
      <c r="B318" s="6" t="s">
        <v>273</v>
      </c>
      <c r="C318" s="7">
        <v>2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F318" s="8"/>
    </row>
    <row r="319" spans="1:32" ht="12.3">
      <c r="A319" s="6" t="s">
        <v>285</v>
      </c>
      <c r="B319" s="6" t="s">
        <v>132</v>
      </c>
      <c r="C319" s="7">
        <v>2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F319" s="8"/>
    </row>
    <row r="320" spans="1:32" ht="12.3">
      <c r="A320" s="6" t="s">
        <v>285</v>
      </c>
      <c r="B320" s="6" t="s">
        <v>261</v>
      </c>
      <c r="C320" s="7">
        <v>2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F320" s="8"/>
    </row>
    <row r="321" spans="1:33" ht="12.3">
      <c r="A321" s="6" t="s">
        <v>285</v>
      </c>
      <c r="B321" s="6" t="s">
        <v>262</v>
      </c>
      <c r="C321" s="7">
        <v>2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F321" s="8"/>
    </row>
    <row r="322" spans="1:33" ht="12.3">
      <c r="A322" s="6" t="s">
        <v>286</v>
      </c>
      <c r="B322" s="6" t="s">
        <v>112</v>
      </c>
      <c r="C322" s="7">
        <v>6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F322" s="8"/>
    </row>
    <row r="323" spans="1:33" ht="12.3">
      <c r="A323" s="6" t="s">
        <v>286</v>
      </c>
      <c r="B323" s="6" t="s">
        <v>267</v>
      </c>
      <c r="C323" s="7">
        <v>6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F323" s="8"/>
    </row>
    <row r="324" spans="1:33" ht="12.3">
      <c r="A324" s="6" t="s">
        <v>286</v>
      </c>
      <c r="B324" s="6" t="s">
        <v>268</v>
      </c>
      <c r="C324" s="7">
        <v>6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F324" s="8"/>
    </row>
    <row r="325" spans="1:33" ht="12.3">
      <c r="A325" s="6" t="s">
        <v>286</v>
      </c>
      <c r="B325" s="6" t="s">
        <v>269</v>
      </c>
      <c r="C325" s="7">
        <v>6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F325" s="8"/>
    </row>
    <row r="326" spans="1:33" ht="12.3">
      <c r="A326" s="6" t="s">
        <v>286</v>
      </c>
      <c r="B326" s="6" t="s">
        <v>270</v>
      </c>
      <c r="C326" s="7">
        <v>6</v>
      </c>
      <c r="D326" s="7">
        <v>1</v>
      </c>
      <c r="E326" s="7">
        <v>1</v>
      </c>
      <c r="F326" s="7">
        <v>6</v>
      </c>
      <c r="G326" s="7">
        <v>5</v>
      </c>
      <c r="H326" s="7">
        <v>0</v>
      </c>
      <c r="I326" s="7">
        <v>0</v>
      </c>
      <c r="J326" s="7">
        <v>0</v>
      </c>
      <c r="K326" s="7">
        <v>5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1</v>
      </c>
      <c r="W326" s="7">
        <v>0</v>
      </c>
      <c r="X326" s="7">
        <v>0</v>
      </c>
      <c r="Y326" s="7">
        <v>0</v>
      </c>
      <c r="Z326" s="7">
        <v>0</v>
      </c>
      <c r="AA326" s="7">
        <v>1</v>
      </c>
      <c r="AB326" s="7">
        <v>0</v>
      </c>
      <c r="AC326" s="7">
        <v>0</v>
      </c>
      <c r="AD326" s="7">
        <v>0</v>
      </c>
      <c r="AE326" s="7"/>
      <c r="AF326" s="8"/>
      <c r="AG326" s="8"/>
    </row>
    <row r="327" spans="1:33" ht="12.3">
      <c r="A327" s="6" t="s">
        <v>286</v>
      </c>
      <c r="B327" s="6" t="s">
        <v>271</v>
      </c>
      <c r="C327" s="7">
        <v>6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/>
      <c r="AF327" s="8"/>
      <c r="AG327" s="8"/>
    </row>
    <row r="328" spans="1:33" ht="12.3">
      <c r="A328" s="6" t="s">
        <v>286</v>
      </c>
      <c r="B328" s="6" t="s">
        <v>272</v>
      </c>
      <c r="C328" s="7">
        <v>6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/>
      <c r="AF328" s="8"/>
      <c r="AG328" s="8"/>
    </row>
    <row r="329" spans="1:33" ht="12.3">
      <c r="A329" s="6" t="s">
        <v>286</v>
      </c>
      <c r="B329" s="6" t="s">
        <v>273</v>
      </c>
      <c r="C329" s="7">
        <v>6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/>
      <c r="AF329" s="8"/>
      <c r="AG329" s="8"/>
    </row>
    <row r="330" spans="1:33" ht="12.3">
      <c r="A330" s="6" t="s">
        <v>286</v>
      </c>
      <c r="B330" s="6" t="s">
        <v>132</v>
      </c>
      <c r="C330" s="7">
        <v>6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/>
      <c r="AF330" s="8"/>
      <c r="AG330" s="8"/>
    </row>
    <row r="331" spans="1:33" ht="12.3">
      <c r="A331" s="6" t="s">
        <v>286</v>
      </c>
      <c r="B331" s="6" t="s">
        <v>261</v>
      </c>
      <c r="C331" s="7">
        <v>6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/>
      <c r="AF331" s="8"/>
      <c r="AG331" s="8"/>
    </row>
    <row r="332" spans="1:33" ht="12.3">
      <c r="A332" s="6" t="s">
        <v>286</v>
      </c>
      <c r="B332" s="6" t="s">
        <v>262</v>
      </c>
      <c r="C332" s="7">
        <v>6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F332" s="8"/>
    </row>
    <row r="333" spans="1:33" ht="12.3">
      <c r="A333" s="6" t="s">
        <v>287</v>
      </c>
      <c r="B333" s="6" t="s">
        <v>283</v>
      </c>
      <c r="C333" s="7">
        <v>2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F333" s="8"/>
    </row>
    <row r="334" spans="1:33" ht="12.3">
      <c r="A334" s="6" t="s">
        <v>287</v>
      </c>
      <c r="B334" s="6" t="s">
        <v>284</v>
      </c>
      <c r="C334" s="7">
        <v>2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F334" s="8"/>
    </row>
    <row r="335" spans="1:33" ht="12.3">
      <c r="A335" s="6" t="s">
        <v>287</v>
      </c>
      <c r="B335" s="6" t="s">
        <v>160</v>
      </c>
      <c r="C335" s="7">
        <v>2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F335" s="8"/>
    </row>
    <row r="336" spans="1:33" ht="12.3">
      <c r="A336" s="6" t="s">
        <v>287</v>
      </c>
      <c r="B336" s="6" t="s">
        <v>264</v>
      </c>
      <c r="C336" s="7">
        <v>2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F336" s="8"/>
    </row>
    <row r="337" spans="1:32" ht="12.3">
      <c r="A337" s="6" t="s">
        <v>287</v>
      </c>
      <c r="B337" s="6" t="s">
        <v>265</v>
      </c>
      <c r="C337" s="7">
        <v>2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F337" s="8"/>
    </row>
    <row r="338" spans="1:32" ht="12.3">
      <c r="A338" s="6" t="s">
        <v>287</v>
      </c>
      <c r="B338" s="6" t="s">
        <v>266</v>
      </c>
      <c r="C338" s="7">
        <v>2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F338" s="8"/>
    </row>
    <row r="339" spans="1:32" ht="12.3">
      <c r="A339" s="6" t="s">
        <v>287</v>
      </c>
      <c r="B339" s="6" t="s">
        <v>112</v>
      </c>
      <c r="C339" s="7">
        <v>2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F339" s="8"/>
    </row>
    <row r="340" spans="1:32" ht="12.3">
      <c r="A340" s="6" t="s">
        <v>287</v>
      </c>
      <c r="B340" s="6" t="s">
        <v>267</v>
      </c>
      <c r="C340" s="7">
        <v>2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F340" s="8"/>
    </row>
    <row r="341" spans="1:32" ht="12.3">
      <c r="A341" s="6" t="s">
        <v>287</v>
      </c>
      <c r="B341" s="6" t="s">
        <v>268</v>
      </c>
      <c r="C341" s="7">
        <v>2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F341" s="8"/>
    </row>
    <row r="342" spans="1:32" ht="12.3">
      <c r="A342" s="6" t="s">
        <v>287</v>
      </c>
      <c r="B342" s="6" t="s">
        <v>269</v>
      </c>
      <c r="C342" s="7">
        <v>2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F342" s="8"/>
    </row>
    <row r="343" spans="1:32" ht="12.3">
      <c r="A343" s="6" t="s">
        <v>287</v>
      </c>
      <c r="B343" s="6" t="s">
        <v>270</v>
      </c>
      <c r="C343" s="7">
        <v>2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F343" s="8"/>
    </row>
    <row r="344" spans="1:32" ht="12.3">
      <c r="A344" s="6" t="s">
        <v>287</v>
      </c>
      <c r="B344" s="6" t="s">
        <v>271</v>
      </c>
      <c r="C344" s="7">
        <v>2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F344" s="8"/>
    </row>
    <row r="345" spans="1:32" ht="12.3">
      <c r="A345" s="6" t="s">
        <v>287</v>
      </c>
      <c r="B345" s="6" t="s">
        <v>272</v>
      </c>
      <c r="C345" s="7">
        <v>2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F345" s="8"/>
    </row>
    <row r="346" spans="1:32" ht="12.3">
      <c r="A346" s="6" t="s">
        <v>287</v>
      </c>
      <c r="B346" s="6" t="s">
        <v>273</v>
      </c>
      <c r="C346" s="7">
        <v>2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F346" s="8"/>
    </row>
    <row r="347" spans="1:32" ht="12.3">
      <c r="A347" s="6" t="s">
        <v>287</v>
      </c>
      <c r="B347" s="6" t="s">
        <v>132</v>
      </c>
      <c r="C347" s="7">
        <v>2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F347" s="8"/>
    </row>
    <row r="348" spans="1:32" ht="12.3">
      <c r="A348" s="6" t="s">
        <v>287</v>
      </c>
      <c r="B348" s="6" t="s">
        <v>261</v>
      </c>
      <c r="C348" s="7">
        <v>2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F348" s="8"/>
    </row>
    <row r="349" spans="1:32" ht="12.3">
      <c r="A349" s="6" t="s">
        <v>287</v>
      </c>
      <c r="B349" s="6" t="s">
        <v>262</v>
      </c>
      <c r="C349" s="7">
        <v>2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F349" s="8"/>
    </row>
    <row r="350" spans="1:32" ht="12.3">
      <c r="A350" s="6" t="s">
        <v>288</v>
      </c>
      <c r="B350" s="6" t="s">
        <v>280</v>
      </c>
      <c r="C350" s="7">
        <v>26</v>
      </c>
      <c r="D350" s="7">
        <v>0</v>
      </c>
      <c r="E350" s="7">
        <v>3</v>
      </c>
      <c r="F350" s="7">
        <v>3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3</v>
      </c>
      <c r="W350" s="7">
        <v>0</v>
      </c>
      <c r="X350" s="7">
        <v>0</v>
      </c>
      <c r="Y350" s="7">
        <v>0</v>
      </c>
      <c r="Z350" s="7">
        <v>3</v>
      </c>
      <c r="AA350" s="7">
        <v>0</v>
      </c>
      <c r="AB350" s="7">
        <v>0</v>
      </c>
      <c r="AC350" s="7">
        <v>0</v>
      </c>
      <c r="AD350" s="7">
        <v>0</v>
      </c>
      <c r="AF350" s="8"/>
    </row>
    <row r="351" spans="1:32" ht="12.3">
      <c r="A351" s="6" t="s">
        <v>288</v>
      </c>
      <c r="B351" s="6" t="s">
        <v>289</v>
      </c>
      <c r="C351" s="7">
        <v>26</v>
      </c>
      <c r="D351" s="7">
        <v>0</v>
      </c>
      <c r="E351" s="7">
        <v>3</v>
      </c>
      <c r="F351" s="7">
        <v>3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3</v>
      </c>
      <c r="W351" s="7">
        <v>0</v>
      </c>
      <c r="X351" s="7">
        <v>0</v>
      </c>
      <c r="Y351" s="7">
        <v>0</v>
      </c>
      <c r="Z351" s="7">
        <v>3</v>
      </c>
      <c r="AA351" s="7">
        <v>0</v>
      </c>
      <c r="AB351" s="7">
        <v>0</v>
      </c>
      <c r="AC351" s="7">
        <v>0</v>
      </c>
      <c r="AD351" s="7">
        <v>0</v>
      </c>
      <c r="AF351" s="8"/>
    </row>
    <row r="352" spans="1:32" ht="12.3">
      <c r="A352" s="6" t="s">
        <v>288</v>
      </c>
      <c r="B352" s="6" t="s">
        <v>283</v>
      </c>
      <c r="C352" s="7">
        <v>26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F352" s="8"/>
    </row>
    <row r="353" spans="1:33" ht="12.3">
      <c r="A353" s="6" t="s">
        <v>288</v>
      </c>
      <c r="B353" s="6" t="s">
        <v>160</v>
      </c>
      <c r="C353" s="7">
        <v>26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F353" s="8"/>
    </row>
    <row r="354" spans="1:33" ht="12.3">
      <c r="A354" s="6" t="s">
        <v>288</v>
      </c>
      <c r="B354" s="6" t="s">
        <v>264</v>
      </c>
      <c r="C354" s="7">
        <v>26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F354" s="8"/>
    </row>
    <row r="355" spans="1:33" ht="12.3">
      <c r="A355" s="6" t="s">
        <v>288</v>
      </c>
      <c r="B355" s="6" t="s">
        <v>265</v>
      </c>
      <c r="C355" s="7">
        <v>26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F355" s="8"/>
    </row>
    <row r="356" spans="1:33" ht="12.3">
      <c r="A356" s="6" t="s">
        <v>288</v>
      </c>
      <c r="B356" s="6" t="s">
        <v>112</v>
      </c>
      <c r="C356" s="7">
        <v>28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F356" s="8"/>
    </row>
    <row r="357" spans="1:33" ht="12.3">
      <c r="A357" s="6" t="s">
        <v>288</v>
      </c>
      <c r="B357" s="6" t="s">
        <v>267</v>
      </c>
      <c r="C357" s="7">
        <v>28</v>
      </c>
      <c r="D357" s="7">
        <v>0</v>
      </c>
      <c r="E357" s="7">
        <v>4</v>
      </c>
      <c r="F357" s="7">
        <v>4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4</v>
      </c>
      <c r="W357" s="7">
        <v>0</v>
      </c>
      <c r="X357" s="7">
        <v>0</v>
      </c>
      <c r="Y357" s="7">
        <v>0</v>
      </c>
      <c r="Z357" s="7">
        <v>4</v>
      </c>
      <c r="AA357" s="7">
        <v>0</v>
      </c>
      <c r="AB357" s="7">
        <v>0</v>
      </c>
      <c r="AC357" s="7">
        <v>0</v>
      </c>
      <c r="AD357" s="7">
        <v>0</v>
      </c>
      <c r="AF357" s="8"/>
    </row>
    <row r="358" spans="1:33" ht="12.3">
      <c r="A358" s="6" t="s">
        <v>288</v>
      </c>
      <c r="B358" s="6" t="s">
        <v>268</v>
      </c>
      <c r="C358" s="7">
        <v>28</v>
      </c>
      <c r="D358" s="7">
        <v>0</v>
      </c>
      <c r="E358" s="7">
        <v>4</v>
      </c>
      <c r="F358" s="7">
        <v>4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4</v>
      </c>
      <c r="W358" s="7">
        <v>0</v>
      </c>
      <c r="X358" s="7">
        <v>0</v>
      </c>
      <c r="Y358" s="7">
        <v>0</v>
      </c>
      <c r="Z358" s="7">
        <v>4</v>
      </c>
      <c r="AA358" s="7">
        <v>0</v>
      </c>
      <c r="AB358" s="7">
        <v>0</v>
      </c>
      <c r="AC358" s="7">
        <v>0</v>
      </c>
      <c r="AD358" s="7">
        <v>0</v>
      </c>
      <c r="AF358" s="8"/>
    </row>
    <row r="359" spans="1:33" ht="12.3">
      <c r="A359" s="6" t="s">
        <v>288</v>
      </c>
      <c r="B359" s="6" t="s">
        <v>269</v>
      </c>
      <c r="C359" s="7">
        <v>29</v>
      </c>
      <c r="D359" s="7">
        <v>2</v>
      </c>
      <c r="E359" s="7">
        <v>5</v>
      </c>
      <c r="F359" s="7">
        <v>11</v>
      </c>
      <c r="G359" s="7">
        <v>6</v>
      </c>
      <c r="H359" s="7">
        <v>0</v>
      </c>
      <c r="I359" s="7">
        <v>0</v>
      </c>
      <c r="J359" s="7">
        <v>0</v>
      </c>
      <c r="K359" s="7">
        <v>5</v>
      </c>
      <c r="L359" s="7">
        <v>0</v>
      </c>
      <c r="M359" s="7">
        <v>1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5</v>
      </c>
      <c r="W359" s="7">
        <v>0</v>
      </c>
      <c r="X359" s="7">
        <v>0</v>
      </c>
      <c r="Y359" s="7">
        <v>0</v>
      </c>
      <c r="Z359" s="7">
        <v>4</v>
      </c>
      <c r="AA359" s="7">
        <v>1</v>
      </c>
      <c r="AB359" s="7">
        <v>0</v>
      </c>
      <c r="AC359" s="7">
        <v>0</v>
      </c>
      <c r="AD359" s="7">
        <v>0</v>
      </c>
      <c r="AF359" s="8"/>
    </row>
    <row r="360" spans="1:33" ht="12.3">
      <c r="A360" s="6" t="s">
        <v>288</v>
      </c>
      <c r="B360" s="6" t="s">
        <v>270</v>
      </c>
      <c r="C360" s="7">
        <v>30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F360" s="8"/>
    </row>
    <row r="361" spans="1:33" ht="12.3">
      <c r="A361" s="6" t="s">
        <v>288</v>
      </c>
      <c r="B361" s="6" t="s">
        <v>271</v>
      </c>
      <c r="C361" s="7">
        <v>32</v>
      </c>
      <c r="D361" s="7">
        <v>2</v>
      </c>
      <c r="E361" s="7">
        <v>6</v>
      </c>
      <c r="F361" s="7">
        <v>17</v>
      </c>
      <c r="G361" s="7">
        <v>11</v>
      </c>
      <c r="H361" s="7">
        <v>0</v>
      </c>
      <c r="I361" s="7">
        <v>0</v>
      </c>
      <c r="J361" s="7">
        <v>0</v>
      </c>
      <c r="K361" s="7">
        <v>11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6</v>
      </c>
      <c r="W361" s="7">
        <v>0</v>
      </c>
      <c r="X361" s="7">
        <v>0</v>
      </c>
      <c r="Y361" s="7">
        <v>0</v>
      </c>
      <c r="Z361" s="7">
        <v>4</v>
      </c>
      <c r="AA361" s="7">
        <v>2</v>
      </c>
      <c r="AB361" s="7">
        <v>0</v>
      </c>
      <c r="AC361" s="7">
        <v>0</v>
      </c>
      <c r="AD361" s="7">
        <v>0</v>
      </c>
      <c r="AE361" s="7"/>
      <c r="AF361" s="8"/>
      <c r="AG361" s="8"/>
    </row>
    <row r="362" spans="1:33" ht="12.3">
      <c r="A362" s="6" t="s">
        <v>288</v>
      </c>
      <c r="B362" s="6" t="s">
        <v>272</v>
      </c>
      <c r="C362" s="7">
        <v>34</v>
      </c>
      <c r="D362" s="7">
        <v>0</v>
      </c>
      <c r="E362" s="7">
        <v>4</v>
      </c>
      <c r="F362" s="7">
        <v>4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4</v>
      </c>
      <c r="W362" s="7">
        <v>0</v>
      </c>
      <c r="X362" s="7">
        <v>0</v>
      </c>
      <c r="Y362" s="7">
        <v>0</v>
      </c>
      <c r="Z362" s="7">
        <v>4</v>
      </c>
      <c r="AA362" s="7">
        <v>0</v>
      </c>
      <c r="AB362" s="7">
        <v>0</v>
      </c>
      <c r="AC362" s="7">
        <v>0</v>
      </c>
      <c r="AD362" s="7">
        <v>0</v>
      </c>
      <c r="AE362" s="7"/>
      <c r="AF362" s="8"/>
      <c r="AG362" s="8"/>
    </row>
    <row r="363" spans="1:33" ht="12.3">
      <c r="A363" s="6" t="s">
        <v>288</v>
      </c>
      <c r="B363" s="6" t="s">
        <v>273</v>
      </c>
      <c r="C363" s="7">
        <v>34</v>
      </c>
      <c r="D363" s="7">
        <v>0</v>
      </c>
      <c r="E363" s="7">
        <v>4</v>
      </c>
      <c r="F363" s="7">
        <v>4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4</v>
      </c>
      <c r="W363" s="7">
        <v>0</v>
      </c>
      <c r="X363" s="7">
        <v>0</v>
      </c>
      <c r="Y363" s="7">
        <v>0</v>
      </c>
      <c r="Z363" s="7">
        <v>4</v>
      </c>
      <c r="AA363" s="7">
        <v>0</v>
      </c>
      <c r="AB363" s="7">
        <v>0</v>
      </c>
      <c r="AC363" s="7">
        <v>0</v>
      </c>
      <c r="AD363" s="7">
        <v>0</v>
      </c>
      <c r="AE363" s="7"/>
      <c r="AF363" s="8"/>
      <c r="AG363" s="8"/>
    </row>
    <row r="364" spans="1:33" ht="12.3">
      <c r="A364" s="6" t="s">
        <v>288</v>
      </c>
      <c r="B364" s="6" t="s">
        <v>132</v>
      </c>
      <c r="C364" s="7">
        <v>34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/>
      <c r="AF364" s="8"/>
      <c r="AG364" s="8"/>
    </row>
    <row r="365" spans="1:33" ht="12.3">
      <c r="A365" s="6" t="s">
        <v>288</v>
      </c>
      <c r="B365" s="6" t="s">
        <v>261</v>
      </c>
      <c r="C365" s="7">
        <v>34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/>
      <c r="AF365" s="8"/>
      <c r="AG365" s="8"/>
    </row>
    <row r="366" spans="1:33" ht="12.3">
      <c r="A366" s="6" t="s">
        <v>288</v>
      </c>
      <c r="B366" s="6" t="s">
        <v>262</v>
      </c>
      <c r="C366" s="7">
        <v>34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F366" s="8"/>
    </row>
    <row r="367" spans="1:33" ht="12.3">
      <c r="A367" s="6" t="s">
        <v>290</v>
      </c>
      <c r="B367" s="6" t="s">
        <v>112</v>
      </c>
      <c r="C367" s="7">
        <v>16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F367" s="8"/>
    </row>
    <row r="368" spans="1:33" ht="12.3">
      <c r="A368" s="6" t="s">
        <v>290</v>
      </c>
      <c r="B368" s="6" t="s">
        <v>267</v>
      </c>
      <c r="C368" s="7">
        <v>16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F368" s="8"/>
    </row>
    <row r="369" spans="1:32" ht="12.3">
      <c r="A369" s="6" t="s">
        <v>290</v>
      </c>
      <c r="B369" s="6" t="s">
        <v>268</v>
      </c>
      <c r="C369" s="7">
        <v>16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F369" s="8"/>
    </row>
    <row r="370" spans="1:32" ht="12.3">
      <c r="A370" s="6" t="s">
        <v>290</v>
      </c>
      <c r="B370" s="6" t="s">
        <v>269</v>
      </c>
      <c r="C370" s="7">
        <v>16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F370" s="8"/>
    </row>
    <row r="371" spans="1:32" ht="12.3">
      <c r="A371" s="6" t="s">
        <v>290</v>
      </c>
      <c r="B371" s="6" t="s">
        <v>270</v>
      </c>
      <c r="C371" s="7">
        <v>16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F371" s="8"/>
    </row>
    <row r="372" spans="1:32" ht="12.3">
      <c r="A372" s="6" t="s">
        <v>290</v>
      </c>
      <c r="B372" s="6" t="s">
        <v>271</v>
      </c>
      <c r="C372" s="7">
        <v>16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F372" s="8"/>
    </row>
    <row r="373" spans="1:32" ht="12.3">
      <c r="A373" s="6" t="s">
        <v>290</v>
      </c>
      <c r="B373" s="6" t="s">
        <v>272</v>
      </c>
      <c r="C373" s="7">
        <v>16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F373" s="8"/>
    </row>
    <row r="374" spans="1:32" ht="12.3">
      <c r="A374" s="6" t="s">
        <v>290</v>
      </c>
      <c r="B374" s="6" t="s">
        <v>273</v>
      </c>
      <c r="C374" s="7">
        <v>16</v>
      </c>
      <c r="D374" s="7">
        <v>0</v>
      </c>
      <c r="E374" s="7">
        <v>3</v>
      </c>
      <c r="F374" s="7">
        <v>3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3</v>
      </c>
      <c r="W374" s="7">
        <v>0</v>
      </c>
      <c r="X374" s="7">
        <v>0</v>
      </c>
      <c r="Y374" s="7">
        <v>0</v>
      </c>
      <c r="Z374" s="7">
        <v>3</v>
      </c>
      <c r="AA374" s="7">
        <v>0</v>
      </c>
      <c r="AB374" s="7">
        <v>0</v>
      </c>
      <c r="AC374" s="7">
        <v>0</v>
      </c>
      <c r="AD374" s="7">
        <v>0</v>
      </c>
      <c r="AF374" s="8"/>
    </row>
    <row r="375" spans="1:32" ht="12.3">
      <c r="A375" s="6" t="s">
        <v>290</v>
      </c>
      <c r="B375" s="6" t="s">
        <v>132</v>
      </c>
      <c r="C375" s="7">
        <v>16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F375" s="8"/>
    </row>
    <row r="376" spans="1:32" ht="12.3">
      <c r="A376" s="6" t="s">
        <v>290</v>
      </c>
      <c r="B376" s="6" t="s">
        <v>261</v>
      </c>
      <c r="C376" s="7">
        <v>16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F376" s="8"/>
    </row>
    <row r="377" spans="1:32" ht="12.3">
      <c r="A377" s="6" t="s">
        <v>290</v>
      </c>
      <c r="B377" s="6" t="s">
        <v>262</v>
      </c>
      <c r="C377" s="7">
        <v>16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F377" s="8"/>
    </row>
    <row r="378" spans="1:32" ht="12.3">
      <c r="A378" s="6" t="s">
        <v>291</v>
      </c>
      <c r="B378" s="6" t="s">
        <v>269</v>
      </c>
      <c r="C378" s="7">
        <v>10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F378" s="8"/>
    </row>
    <row r="379" spans="1:32" ht="12.3">
      <c r="A379" s="6" t="s">
        <v>291</v>
      </c>
      <c r="B379" s="6" t="s">
        <v>270</v>
      </c>
      <c r="C379" s="7">
        <v>10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F379" s="8"/>
    </row>
    <row r="380" spans="1:32" ht="12.3">
      <c r="A380" s="6" t="s">
        <v>291</v>
      </c>
      <c r="B380" s="6" t="s">
        <v>271</v>
      </c>
      <c r="C380" s="7">
        <v>10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F380" s="8"/>
    </row>
    <row r="381" spans="1:32" ht="12.3">
      <c r="A381" s="6" t="s">
        <v>291</v>
      </c>
      <c r="B381" s="6" t="s">
        <v>272</v>
      </c>
      <c r="C381" s="7">
        <v>10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F381" s="8"/>
    </row>
    <row r="382" spans="1:32" ht="12.3">
      <c r="A382" s="6" t="s">
        <v>291</v>
      </c>
      <c r="B382" s="6" t="s">
        <v>273</v>
      </c>
      <c r="C382" s="7">
        <v>10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F382" s="8"/>
    </row>
    <row r="383" spans="1:32" ht="12.3">
      <c r="A383" s="6" t="s">
        <v>291</v>
      </c>
      <c r="B383" s="6" t="s">
        <v>132</v>
      </c>
      <c r="C383" s="7">
        <v>10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F383" s="8"/>
    </row>
    <row r="384" spans="1:32" ht="12.3">
      <c r="A384" s="6" t="s">
        <v>291</v>
      </c>
      <c r="B384" s="6" t="s">
        <v>261</v>
      </c>
      <c r="C384" s="7">
        <v>10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F384" s="8"/>
    </row>
    <row r="385" spans="1:32" ht="12.3">
      <c r="A385" s="6" t="s">
        <v>291</v>
      </c>
      <c r="B385" s="6" t="s">
        <v>262</v>
      </c>
      <c r="C385" s="7">
        <v>10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F385" s="8"/>
    </row>
    <row r="386" spans="1:32" ht="12.3">
      <c r="A386" s="6" t="s">
        <v>292</v>
      </c>
      <c r="B386" s="6" t="s">
        <v>269</v>
      </c>
      <c r="C386" s="7">
        <v>14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F386" s="8"/>
    </row>
    <row r="387" spans="1:32" ht="12.3">
      <c r="A387" s="6" t="s">
        <v>292</v>
      </c>
      <c r="B387" s="6" t="s">
        <v>270</v>
      </c>
      <c r="C387" s="7">
        <v>14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F387" s="8"/>
    </row>
    <row r="388" spans="1:32" ht="12.3">
      <c r="A388" s="6" t="s">
        <v>292</v>
      </c>
      <c r="B388" s="6" t="s">
        <v>271</v>
      </c>
      <c r="C388" s="7">
        <v>14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F388" s="8"/>
    </row>
    <row r="389" spans="1:32" ht="12.3">
      <c r="A389" s="6" t="s">
        <v>292</v>
      </c>
      <c r="B389" s="6" t="s">
        <v>272</v>
      </c>
      <c r="C389" s="7">
        <v>14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F389" s="8"/>
    </row>
    <row r="390" spans="1:32" ht="12.3">
      <c r="A390" s="6" t="s">
        <v>292</v>
      </c>
      <c r="B390" s="6" t="s">
        <v>273</v>
      </c>
      <c r="C390" s="7">
        <v>14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F390" s="8"/>
    </row>
    <row r="391" spans="1:32" ht="12.3">
      <c r="A391" s="6" t="s">
        <v>292</v>
      </c>
      <c r="B391" s="6" t="s">
        <v>132</v>
      </c>
      <c r="C391" s="7">
        <v>14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F391" s="8"/>
    </row>
    <row r="392" spans="1:32" ht="12.3">
      <c r="A392" s="6" t="s">
        <v>292</v>
      </c>
      <c r="B392" s="6" t="s">
        <v>261</v>
      </c>
      <c r="C392" s="7">
        <v>14</v>
      </c>
      <c r="D392" s="7">
        <v>0</v>
      </c>
      <c r="E392" s="7">
        <v>1</v>
      </c>
      <c r="F392" s="7">
        <v>1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1</v>
      </c>
      <c r="W392" s="7">
        <v>0</v>
      </c>
      <c r="X392" s="7">
        <v>0</v>
      </c>
      <c r="Y392" s="7">
        <v>0</v>
      </c>
      <c r="Z392" s="7">
        <v>1</v>
      </c>
      <c r="AA392" s="7">
        <v>0</v>
      </c>
      <c r="AB392" s="7">
        <v>0</v>
      </c>
      <c r="AC392" s="7">
        <v>0</v>
      </c>
      <c r="AD392" s="7">
        <v>0</v>
      </c>
      <c r="AF392" s="8"/>
    </row>
    <row r="393" spans="1:32" ht="12.3">
      <c r="A393" s="6" t="s">
        <v>292</v>
      </c>
      <c r="B393" s="6" t="s">
        <v>262</v>
      </c>
      <c r="C393" s="7">
        <v>14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F393" s="8"/>
    </row>
    <row r="394" spans="1:32" ht="12.3">
      <c r="A394" s="6" t="s">
        <v>293</v>
      </c>
      <c r="B394" s="6" t="s">
        <v>261</v>
      </c>
      <c r="C394" s="7">
        <v>10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F394" s="8"/>
    </row>
    <row r="395" spans="1:32" ht="12.3">
      <c r="A395" s="6" t="s">
        <v>293</v>
      </c>
      <c r="B395" s="6" t="s">
        <v>262</v>
      </c>
      <c r="C395" s="7">
        <v>10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F395" s="8"/>
    </row>
    <row r="396" spans="1:32" ht="12.3">
      <c r="A396" s="6" t="s">
        <v>294</v>
      </c>
      <c r="B396" s="6" t="s">
        <v>269</v>
      </c>
      <c r="C396" s="7">
        <v>6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F396" s="8"/>
    </row>
    <row r="397" spans="1:32" ht="12.3">
      <c r="A397" s="6" t="s">
        <v>294</v>
      </c>
      <c r="B397" s="6" t="s">
        <v>270</v>
      </c>
      <c r="C397" s="7">
        <v>6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F397" s="8"/>
    </row>
    <row r="398" spans="1:32" ht="12.3">
      <c r="A398" s="6" t="s">
        <v>294</v>
      </c>
      <c r="B398" s="6" t="s">
        <v>271</v>
      </c>
      <c r="C398" s="7">
        <v>6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F398" s="8"/>
    </row>
    <row r="399" spans="1:32" ht="12.3">
      <c r="A399" s="6" t="s">
        <v>294</v>
      </c>
      <c r="B399" s="6" t="s">
        <v>272</v>
      </c>
      <c r="C399" s="7">
        <v>6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F399" s="8"/>
    </row>
    <row r="400" spans="1:32" ht="12.3">
      <c r="A400" s="6" t="s">
        <v>295</v>
      </c>
      <c r="B400" s="6" t="s">
        <v>296</v>
      </c>
      <c r="C400" s="7">
        <v>6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F400" s="8"/>
    </row>
    <row r="401" spans="1:33" ht="12.3">
      <c r="A401" s="6" t="s">
        <v>297</v>
      </c>
      <c r="B401" s="6" t="s">
        <v>279</v>
      </c>
      <c r="C401" s="7">
        <v>6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F401" s="8"/>
    </row>
    <row r="402" spans="1:33" ht="12.3">
      <c r="A402" s="6" t="s">
        <v>297</v>
      </c>
      <c r="B402" s="6" t="s">
        <v>280</v>
      </c>
      <c r="C402" s="7">
        <v>6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F402" s="8"/>
    </row>
    <row r="403" spans="1:33" ht="12.3">
      <c r="A403" s="6" t="s">
        <v>297</v>
      </c>
      <c r="B403" s="6" t="s">
        <v>281</v>
      </c>
      <c r="C403" s="7">
        <v>6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F403" s="8"/>
    </row>
    <row r="404" spans="1:33" ht="12.3">
      <c r="A404" s="6" t="s">
        <v>297</v>
      </c>
      <c r="B404" s="6" t="s">
        <v>282</v>
      </c>
      <c r="C404" s="7">
        <v>17</v>
      </c>
      <c r="D404" s="7">
        <v>1</v>
      </c>
      <c r="E404" s="7">
        <v>12</v>
      </c>
      <c r="F404" s="7">
        <v>19</v>
      </c>
      <c r="G404" s="7">
        <v>2</v>
      </c>
      <c r="H404" s="7">
        <v>0</v>
      </c>
      <c r="I404" s="7">
        <v>0</v>
      </c>
      <c r="J404" s="7">
        <v>0</v>
      </c>
      <c r="K404" s="7">
        <v>2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17</v>
      </c>
      <c r="W404" s="7">
        <v>0</v>
      </c>
      <c r="X404" s="7">
        <v>0</v>
      </c>
      <c r="Y404" s="7">
        <v>0</v>
      </c>
      <c r="Z404" s="7">
        <v>1</v>
      </c>
      <c r="AA404" s="7">
        <v>16</v>
      </c>
      <c r="AB404" s="7">
        <v>0</v>
      </c>
      <c r="AC404" s="7">
        <v>0</v>
      </c>
      <c r="AD404" s="7">
        <v>0</v>
      </c>
      <c r="AE404" s="7"/>
      <c r="AF404" s="8"/>
      <c r="AG404" s="8"/>
    </row>
    <row r="405" spans="1:33" ht="12.3">
      <c r="A405" s="6" t="s">
        <v>297</v>
      </c>
      <c r="B405" s="6" t="s">
        <v>283</v>
      </c>
      <c r="C405" s="7">
        <v>28</v>
      </c>
      <c r="D405" s="7">
        <v>0</v>
      </c>
      <c r="E405" s="7">
        <v>2</v>
      </c>
      <c r="F405" s="7">
        <v>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2</v>
      </c>
      <c r="W405" s="7">
        <v>0</v>
      </c>
      <c r="X405" s="7">
        <v>0</v>
      </c>
      <c r="Y405" s="7">
        <v>0</v>
      </c>
      <c r="Z405" s="7">
        <v>2</v>
      </c>
      <c r="AA405" s="7">
        <v>0</v>
      </c>
      <c r="AB405" s="7">
        <v>0</v>
      </c>
      <c r="AC405" s="7">
        <v>0</v>
      </c>
      <c r="AD405" s="7">
        <v>0</v>
      </c>
      <c r="AE405" s="7"/>
      <c r="AF405" s="8"/>
      <c r="AG405" s="8"/>
    </row>
    <row r="406" spans="1:33" ht="12.3">
      <c r="A406" s="6" t="s">
        <v>297</v>
      </c>
      <c r="B406" s="6" t="s">
        <v>160</v>
      </c>
      <c r="C406" s="7">
        <v>28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/>
      <c r="AF406" s="8"/>
      <c r="AG406" s="8"/>
    </row>
    <row r="407" spans="1:33" ht="12.3">
      <c r="A407" s="6" t="s">
        <v>297</v>
      </c>
      <c r="B407" s="6" t="s">
        <v>264</v>
      </c>
      <c r="C407" s="7">
        <v>28</v>
      </c>
      <c r="D407" s="7">
        <v>0</v>
      </c>
      <c r="E407" s="7">
        <v>2</v>
      </c>
      <c r="F407" s="7">
        <v>2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2</v>
      </c>
      <c r="W407" s="7">
        <v>0</v>
      </c>
      <c r="X407" s="7">
        <v>0</v>
      </c>
      <c r="Y407" s="7">
        <v>0</v>
      </c>
      <c r="Z407" s="7">
        <v>2</v>
      </c>
      <c r="AA407" s="7">
        <v>0</v>
      </c>
      <c r="AB407" s="7">
        <v>0</v>
      </c>
      <c r="AC407" s="7">
        <v>0</v>
      </c>
      <c r="AD407" s="7">
        <v>0</v>
      </c>
      <c r="AE407" s="7"/>
      <c r="AF407" s="8"/>
      <c r="AG407" s="8"/>
    </row>
    <row r="408" spans="1:33" ht="12.3">
      <c r="A408" s="6" t="s">
        <v>297</v>
      </c>
      <c r="B408" s="6" t="s">
        <v>265</v>
      </c>
      <c r="C408" s="7">
        <v>28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/>
      <c r="AF408" s="8"/>
      <c r="AG408" s="8"/>
    </row>
    <row r="409" spans="1:33" ht="12.3">
      <c r="A409" s="6" t="s">
        <v>297</v>
      </c>
      <c r="B409" s="6" t="s">
        <v>266</v>
      </c>
      <c r="C409" s="7">
        <v>28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/>
      <c r="AF409" s="8"/>
      <c r="AG409" s="8"/>
    </row>
    <row r="410" spans="1:33" ht="12.3">
      <c r="A410" s="6" t="s">
        <v>297</v>
      </c>
      <c r="B410" s="6" t="s">
        <v>112</v>
      </c>
      <c r="C410" s="7">
        <v>28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/>
      <c r="AF410" s="8"/>
      <c r="AG410" s="8"/>
    </row>
    <row r="411" spans="1:33" ht="12.3">
      <c r="A411" s="6" t="s">
        <v>297</v>
      </c>
      <c r="B411" s="6" t="s">
        <v>267</v>
      </c>
      <c r="C411" s="7">
        <v>28</v>
      </c>
      <c r="D411" s="7">
        <v>0</v>
      </c>
      <c r="E411" s="7">
        <v>2</v>
      </c>
      <c r="F411" s="7">
        <v>2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2</v>
      </c>
      <c r="W411" s="7">
        <v>0</v>
      </c>
      <c r="X411" s="7">
        <v>0</v>
      </c>
      <c r="Y411" s="7">
        <v>0</v>
      </c>
      <c r="Z411" s="7">
        <v>2</v>
      </c>
      <c r="AA411" s="7">
        <v>0</v>
      </c>
      <c r="AB411" s="7">
        <v>0</v>
      </c>
      <c r="AC411" s="7">
        <v>0</v>
      </c>
      <c r="AD411" s="7">
        <v>0</v>
      </c>
      <c r="AE411" s="7"/>
      <c r="AF411" s="8"/>
      <c r="AG411" s="8"/>
    </row>
    <row r="412" spans="1:33" ht="12.3">
      <c r="A412" s="6" t="s">
        <v>297</v>
      </c>
      <c r="B412" s="6" t="s">
        <v>268</v>
      </c>
      <c r="C412" s="7">
        <v>30</v>
      </c>
      <c r="D412" s="7">
        <v>2</v>
      </c>
      <c r="E412" s="7">
        <v>4</v>
      </c>
      <c r="F412" s="7">
        <v>13</v>
      </c>
      <c r="G412" s="7">
        <v>9</v>
      </c>
      <c r="H412" s="7">
        <v>0</v>
      </c>
      <c r="I412" s="7">
        <v>0</v>
      </c>
      <c r="J412" s="7">
        <v>0</v>
      </c>
      <c r="K412" s="7">
        <v>9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4</v>
      </c>
      <c r="W412" s="7">
        <v>0</v>
      </c>
      <c r="X412" s="7">
        <v>0</v>
      </c>
      <c r="Y412" s="7">
        <v>0</v>
      </c>
      <c r="Z412" s="7">
        <v>2</v>
      </c>
      <c r="AA412" s="7">
        <v>2</v>
      </c>
      <c r="AB412" s="7">
        <v>0</v>
      </c>
      <c r="AC412" s="7">
        <v>0</v>
      </c>
      <c r="AD412" s="7">
        <v>0</v>
      </c>
      <c r="AE412" s="7"/>
      <c r="AF412" s="8"/>
      <c r="AG412" s="8"/>
    </row>
    <row r="413" spans="1:33" ht="12.3">
      <c r="A413" s="6" t="s">
        <v>297</v>
      </c>
      <c r="B413" s="6" t="s">
        <v>269</v>
      </c>
      <c r="C413" s="7">
        <v>32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/>
      <c r="AF413" s="8"/>
      <c r="AG413" s="8"/>
    </row>
    <row r="414" spans="1:33" ht="12.3">
      <c r="A414" s="6" t="s">
        <v>297</v>
      </c>
      <c r="B414" s="6" t="s">
        <v>270</v>
      </c>
      <c r="C414" s="7">
        <v>32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/>
      <c r="AF414" s="8"/>
      <c r="AG414" s="8"/>
    </row>
    <row r="415" spans="1:33" ht="12.3">
      <c r="A415" s="6" t="s">
        <v>297</v>
      </c>
      <c r="B415" s="6" t="s">
        <v>271</v>
      </c>
      <c r="C415" s="7">
        <v>32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/>
      <c r="AF415" s="8"/>
      <c r="AG415" s="8"/>
    </row>
    <row r="416" spans="1:33" ht="12.3">
      <c r="A416" s="6" t="s">
        <v>297</v>
      </c>
      <c r="B416" s="6" t="s">
        <v>272</v>
      </c>
      <c r="C416" s="7">
        <v>32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/>
      <c r="AF416" s="8"/>
      <c r="AG416" s="8"/>
    </row>
    <row r="417" spans="1:33" ht="12.3">
      <c r="A417" s="6" t="s">
        <v>297</v>
      </c>
      <c r="B417" s="6" t="s">
        <v>273</v>
      </c>
      <c r="C417" s="7">
        <v>32</v>
      </c>
      <c r="D417" s="7">
        <v>0</v>
      </c>
      <c r="E417" s="7">
        <v>2</v>
      </c>
      <c r="F417" s="7">
        <v>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2</v>
      </c>
      <c r="W417" s="7">
        <v>0</v>
      </c>
      <c r="X417" s="7">
        <v>0</v>
      </c>
      <c r="Y417" s="7">
        <v>0</v>
      </c>
      <c r="Z417" s="7">
        <v>2</v>
      </c>
      <c r="AA417" s="7">
        <v>0</v>
      </c>
      <c r="AB417" s="7">
        <v>0</v>
      </c>
      <c r="AC417" s="7">
        <v>0</v>
      </c>
      <c r="AD417" s="7">
        <v>0</v>
      </c>
      <c r="AE417" s="7"/>
      <c r="AF417" s="8"/>
      <c r="AG417" s="8"/>
    </row>
    <row r="418" spans="1:33" ht="12.3">
      <c r="A418" s="6" t="s">
        <v>297</v>
      </c>
      <c r="B418" s="6" t="s">
        <v>132</v>
      </c>
      <c r="C418" s="7">
        <v>32</v>
      </c>
      <c r="D418" s="7">
        <v>0</v>
      </c>
      <c r="E418" s="7">
        <v>2</v>
      </c>
      <c r="F418" s="7">
        <v>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2</v>
      </c>
      <c r="W418" s="7">
        <v>0</v>
      </c>
      <c r="X418" s="7">
        <v>0</v>
      </c>
      <c r="Y418" s="7">
        <v>0</v>
      </c>
      <c r="Z418" s="7">
        <v>2</v>
      </c>
      <c r="AA418" s="7">
        <v>0</v>
      </c>
      <c r="AB418" s="7">
        <v>0</v>
      </c>
      <c r="AC418" s="7">
        <v>0</v>
      </c>
      <c r="AD418" s="7">
        <v>0</v>
      </c>
      <c r="AE418" s="7"/>
      <c r="AF418" s="8"/>
      <c r="AG418" s="8"/>
    </row>
    <row r="419" spans="1:33" ht="12.3">
      <c r="A419" s="6" t="s">
        <v>297</v>
      </c>
      <c r="B419" s="6" t="s">
        <v>261</v>
      </c>
      <c r="C419" s="7">
        <v>32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F419" s="8"/>
    </row>
    <row r="420" spans="1:33" ht="12.3">
      <c r="A420" s="6" t="s">
        <v>297</v>
      </c>
      <c r="B420" s="6" t="s">
        <v>262</v>
      </c>
      <c r="C420" s="7">
        <v>32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F420" s="8"/>
    </row>
    <row r="421" spans="1:33" ht="12.3">
      <c r="A421" s="6" t="s">
        <v>298</v>
      </c>
      <c r="B421" s="6" t="s">
        <v>273</v>
      </c>
      <c r="C421" s="7">
        <v>6</v>
      </c>
      <c r="D421" s="7">
        <v>0</v>
      </c>
      <c r="E421" s="7">
        <v>1</v>
      </c>
      <c r="F421" s="7">
        <v>1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1</v>
      </c>
      <c r="W421" s="7">
        <v>0</v>
      </c>
      <c r="X421" s="7">
        <v>0</v>
      </c>
      <c r="Y421" s="7">
        <v>0</v>
      </c>
      <c r="Z421" s="7">
        <v>1</v>
      </c>
      <c r="AA421" s="7">
        <v>0</v>
      </c>
      <c r="AB421" s="7">
        <v>0</v>
      </c>
      <c r="AC421" s="7">
        <v>0</v>
      </c>
      <c r="AD421" s="7">
        <v>0</v>
      </c>
      <c r="AF421" s="8"/>
    </row>
    <row r="422" spans="1:33" ht="12.3">
      <c r="A422" s="6" t="s">
        <v>298</v>
      </c>
      <c r="B422" s="6" t="s">
        <v>132</v>
      </c>
      <c r="C422" s="7">
        <v>6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F422" s="8"/>
    </row>
    <row r="423" spans="1:33" ht="12.3">
      <c r="A423" s="6" t="s">
        <v>298</v>
      </c>
      <c r="B423" s="6" t="s">
        <v>261</v>
      </c>
      <c r="C423" s="7">
        <v>6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F423" s="8"/>
    </row>
    <row r="424" spans="1:33" ht="12.3">
      <c r="A424" s="6" t="s">
        <v>298</v>
      </c>
      <c r="B424" s="6" t="s">
        <v>262</v>
      </c>
      <c r="C424" s="7">
        <v>6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F424" s="8"/>
    </row>
    <row r="425" spans="1:33" ht="12.3">
      <c r="A425" s="6" t="s">
        <v>299</v>
      </c>
      <c r="B425" s="6" t="s">
        <v>279</v>
      </c>
      <c r="C425" s="7">
        <v>8</v>
      </c>
      <c r="D425" s="7">
        <v>1</v>
      </c>
      <c r="E425" s="7">
        <v>3</v>
      </c>
      <c r="F425" s="7">
        <v>7</v>
      </c>
      <c r="G425" s="7">
        <v>2</v>
      </c>
      <c r="H425" s="7">
        <v>0</v>
      </c>
      <c r="I425" s="7">
        <v>0</v>
      </c>
      <c r="J425" s="7">
        <v>0</v>
      </c>
      <c r="K425" s="7">
        <v>2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5</v>
      </c>
      <c r="W425" s="7">
        <v>0</v>
      </c>
      <c r="X425" s="7">
        <v>0</v>
      </c>
      <c r="Y425" s="7">
        <v>0</v>
      </c>
      <c r="Z425" s="7">
        <v>1</v>
      </c>
      <c r="AA425" s="7">
        <v>4</v>
      </c>
      <c r="AB425" s="7">
        <v>0</v>
      </c>
      <c r="AC425" s="7">
        <v>0</v>
      </c>
      <c r="AD425" s="7">
        <v>0</v>
      </c>
      <c r="AF425" s="8"/>
    </row>
    <row r="426" spans="1:33" ht="12.3">
      <c r="A426" s="6" t="s">
        <v>299</v>
      </c>
      <c r="B426" s="6" t="s">
        <v>280</v>
      </c>
      <c r="C426" s="7">
        <v>10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F426" s="8"/>
    </row>
    <row r="427" spans="1:33" ht="12.3">
      <c r="A427" s="6" t="s">
        <v>299</v>
      </c>
      <c r="B427" s="6" t="s">
        <v>281</v>
      </c>
      <c r="C427" s="7">
        <v>10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F427" s="8"/>
    </row>
    <row r="428" spans="1:33" ht="12.3">
      <c r="A428" s="6" t="s">
        <v>299</v>
      </c>
      <c r="B428" s="6" t="s">
        <v>282</v>
      </c>
      <c r="C428" s="7">
        <v>13</v>
      </c>
      <c r="D428" s="7">
        <v>1</v>
      </c>
      <c r="E428" s="7">
        <v>4</v>
      </c>
      <c r="F428" s="7">
        <v>6</v>
      </c>
      <c r="G428" s="7">
        <v>2</v>
      </c>
      <c r="H428" s="7">
        <v>0</v>
      </c>
      <c r="I428" s="7">
        <v>0</v>
      </c>
      <c r="J428" s="7">
        <v>0</v>
      </c>
      <c r="K428" s="7">
        <v>2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4</v>
      </c>
      <c r="W428" s="7">
        <v>0</v>
      </c>
      <c r="X428" s="7">
        <v>0</v>
      </c>
      <c r="Y428" s="7">
        <v>0</v>
      </c>
      <c r="Z428" s="7">
        <v>1</v>
      </c>
      <c r="AA428" s="7">
        <v>3</v>
      </c>
      <c r="AB428" s="7">
        <v>0</v>
      </c>
      <c r="AC428" s="7">
        <v>0</v>
      </c>
      <c r="AD428" s="7">
        <v>0</v>
      </c>
      <c r="AF428" s="8"/>
    </row>
    <row r="429" spans="1:33" ht="12.3">
      <c r="A429" s="6" t="s">
        <v>299</v>
      </c>
      <c r="B429" s="6" t="s">
        <v>283</v>
      </c>
      <c r="C429" s="7">
        <v>16</v>
      </c>
      <c r="D429" s="7">
        <v>0</v>
      </c>
      <c r="E429" s="7">
        <v>1</v>
      </c>
      <c r="F429" s="7">
        <v>1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1</v>
      </c>
      <c r="W429" s="7">
        <v>0</v>
      </c>
      <c r="X429" s="7">
        <v>0</v>
      </c>
      <c r="Y429" s="7">
        <v>0</v>
      </c>
      <c r="Z429" s="7">
        <v>1</v>
      </c>
      <c r="AA429" s="7">
        <v>0</v>
      </c>
      <c r="AB429" s="7">
        <v>0</v>
      </c>
      <c r="AC429" s="7">
        <v>0</v>
      </c>
      <c r="AD429" s="7">
        <v>0</v>
      </c>
      <c r="AF429" s="8"/>
    </row>
    <row r="430" spans="1:33" ht="12.3">
      <c r="A430" s="6" t="s">
        <v>299</v>
      </c>
      <c r="B430" s="6" t="s">
        <v>160</v>
      </c>
      <c r="C430" s="7">
        <v>16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F430" s="8"/>
    </row>
    <row r="431" spans="1:33" ht="12.3">
      <c r="A431" s="6" t="s">
        <v>299</v>
      </c>
      <c r="B431" s="6" t="s">
        <v>264</v>
      </c>
      <c r="C431" s="7">
        <v>16</v>
      </c>
      <c r="D431" s="7">
        <v>0</v>
      </c>
      <c r="E431" s="7">
        <v>1</v>
      </c>
      <c r="F431" s="7">
        <v>1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1</v>
      </c>
      <c r="W431" s="7">
        <v>0</v>
      </c>
      <c r="X431" s="7">
        <v>0</v>
      </c>
      <c r="Y431" s="7">
        <v>0</v>
      </c>
      <c r="Z431" s="7">
        <v>1</v>
      </c>
      <c r="AA431" s="7">
        <v>0</v>
      </c>
      <c r="AB431" s="7">
        <v>0</v>
      </c>
      <c r="AC431" s="7">
        <v>0</v>
      </c>
      <c r="AD431" s="7">
        <v>0</v>
      </c>
      <c r="AF431" s="8"/>
    </row>
    <row r="432" spans="1:33" ht="12.3">
      <c r="A432" s="6" t="s">
        <v>299</v>
      </c>
      <c r="B432" s="6" t="s">
        <v>265</v>
      </c>
      <c r="C432" s="7">
        <v>16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F432" s="8"/>
    </row>
    <row r="433" spans="1:32" ht="12.3">
      <c r="A433" s="6" t="s">
        <v>300</v>
      </c>
      <c r="B433" s="6" t="s">
        <v>269</v>
      </c>
      <c r="C433" s="7">
        <v>6</v>
      </c>
      <c r="D433" s="7">
        <v>0</v>
      </c>
      <c r="E433" s="7">
        <v>1</v>
      </c>
      <c r="F433" s="7">
        <v>1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1</v>
      </c>
      <c r="W433" s="7">
        <v>0</v>
      </c>
      <c r="X433" s="7">
        <v>0</v>
      </c>
      <c r="Y433" s="7">
        <v>0</v>
      </c>
      <c r="Z433" s="7">
        <v>1</v>
      </c>
      <c r="AA433" s="7">
        <v>0</v>
      </c>
      <c r="AB433" s="7">
        <v>0</v>
      </c>
      <c r="AC433" s="7">
        <v>0</v>
      </c>
      <c r="AD433" s="7">
        <v>0</v>
      </c>
      <c r="AF433" s="8"/>
    </row>
    <row r="434" spans="1:32" ht="12.3">
      <c r="A434" s="6" t="s">
        <v>300</v>
      </c>
      <c r="B434" s="6" t="s">
        <v>270</v>
      </c>
      <c r="C434" s="7">
        <v>6</v>
      </c>
      <c r="D434" s="7">
        <v>0</v>
      </c>
      <c r="E434" s="7">
        <v>1</v>
      </c>
      <c r="F434" s="7">
        <v>1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1</v>
      </c>
      <c r="W434" s="7">
        <v>0</v>
      </c>
      <c r="X434" s="7">
        <v>0</v>
      </c>
      <c r="Y434" s="7">
        <v>0</v>
      </c>
      <c r="Z434" s="7">
        <v>1</v>
      </c>
      <c r="AA434" s="7">
        <v>0</v>
      </c>
      <c r="AB434" s="7">
        <v>0</v>
      </c>
      <c r="AC434" s="7">
        <v>0</v>
      </c>
      <c r="AD434" s="7">
        <v>0</v>
      </c>
      <c r="AF434" s="8"/>
    </row>
    <row r="435" spans="1:32" ht="12.3">
      <c r="A435" s="6" t="s">
        <v>300</v>
      </c>
      <c r="B435" s="6" t="s">
        <v>271</v>
      </c>
      <c r="C435" s="7">
        <v>6</v>
      </c>
      <c r="D435" s="7">
        <v>0</v>
      </c>
      <c r="E435" s="7">
        <v>1</v>
      </c>
      <c r="F435" s="7">
        <v>1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1</v>
      </c>
      <c r="W435" s="7">
        <v>0</v>
      </c>
      <c r="X435" s="7">
        <v>0</v>
      </c>
      <c r="Y435" s="7">
        <v>0</v>
      </c>
      <c r="Z435" s="7">
        <v>1</v>
      </c>
      <c r="AA435" s="7">
        <v>0</v>
      </c>
      <c r="AB435" s="7">
        <v>0</v>
      </c>
      <c r="AC435" s="7">
        <v>0</v>
      </c>
      <c r="AD435" s="7">
        <v>0</v>
      </c>
      <c r="AF435" s="8"/>
    </row>
    <row r="436" spans="1:32" ht="12.3">
      <c r="A436" s="6" t="s">
        <v>300</v>
      </c>
      <c r="B436" s="6" t="s">
        <v>272</v>
      </c>
      <c r="C436" s="7">
        <v>6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F436" s="8"/>
    </row>
    <row r="437" spans="1:32" ht="12.3">
      <c r="A437" s="6" t="s">
        <v>300</v>
      </c>
      <c r="B437" s="6" t="s">
        <v>273</v>
      </c>
      <c r="C437" s="7">
        <v>6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F437" s="8"/>
    </row>
    <row r="438" spans="1:32" ht="12.3">
      <c r="A438" s="6" t="s">
        <v>300</v>
      </c>
      <c r="B438" s="6" t="s">
        <v>132</v>
      </c>
      <c r="C438" s="7">
        <v>6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F438" s="8"/>
    </row>
    <row r="439" spans="1:32" ht="12.3">
      <c r="A439" s="6" t="s">
        <v>300</v>
      </c>
      <c r="B439" s="6" t="s">
        <v>261</v>
      </c>
      <c r="C439" s="7">
        <v>6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F439" s="8"/>
    </row>
    <row r="440" spans="1:32" ht="12.3">
      <c r="A440" s="6" t="s">
        <v>300</v>
      </c>
      <c r="B440" s="6" t="s">
        <v>262</v>
      </c>
      <c r="C440" s="7">
        <v>6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F440" s="8"/>
    </row>
    <row r="441" spans="1:32" ht="12.3">
      <c r="A441" s="6" t="s">
        <v>301</v>
      </c>
      <c r="B441" s="6" t="s">
        <v>279</v>
      </c>
      <c r="C441" s="7">
        <v>10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F441" s="8"/>
    </row>
    <row r="442" spans="1:32" ht="12.3">
      <c r="A442" s="6" t="s">
        <v>301</v>
      </c>
      <c r="B442" s="6" t="s">
        <v>280</v>
      </c>
      <c r="C442" s="7">
        <v>10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F442" s="8"/>
    </row>
    <row r="443" spans="1:32" ht="12.3">
      <c r="A443" s="6" t="s">
        <v>301</v>
      </c>
      <c r="B443" s="6" t="s">
        <v>281</v>
      </c>
      <c r="C443" s="7">
        <v>10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F443" s="8"/>
    </row>
    <row r="444" spans="1:32" ht="12.3">
      <c r="A444" s="6" t="s">
        <v>301</v>
      </c>
      <c r="B444" s="6" t="s">
        <v>283</v>
      </c>
      <c r="C444" s="7">
        <v>14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F444" s="8"/>
    </row>
    <row r="445" spans="1:32" ht="12.3">
      <c r="A445" s="6" t="s">
        <v>301</v>
      </c>
      <c r="B445" s="6" t="s">
        <v>160</v>
      </c>
      <c r="C445" s="7">
        <v>14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F445" s="8"/>
    </row>
    <row r="446" spans="1:32" ht="12.3">
      <c r="A446" s="6" t="s">
        <v>301</v>
      </c>
      <c r="B446" s="6" t="s">
        <v>264</v>
      </c>
      <c r="C446" s="7">
        <v>14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F446" s="8"/>
    </row>
    <row r="447" spans="1:32" ht="12.3">
      <c r="A447" s="6" t="s">
        <v>301</v>
      </c>
      <c r="B447" s="6" t="s">
        <v>265</v>
      </c>
      <c r="C447" s="7">
        <v>14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F447" s="8"/>
    </row>
    <row r="448" spans="1:32" ht="12.3">
      <c r="A448" s="6" t="s">
        <v>301</v>
      </c>
      <c r="B448" s="6" t="s">
        <v>266</v>
      </c>
      <c r="C448" s="7">
        <v>14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F448" s="8"/>
    </row>
    <row r="449" spans="1:32" ht="12.3">
      <c r="A449" s="6" t="s">
        <v>301</v>
      </c>
      <c r="B449" s="6" t="s">
        <v>112</v>
      </c>
      <c r="C449" s="7">
        <v>14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F449" s="8"/>
    </row>
    <row r="450" spans="1:32" ht="12.3">
      <c r="A450" s="6" t="s">
        <v>301</v>
      </c>
      <c r="B450" s="6" t="s">
        <v>267</v>
      </c>
      <c r="C450" s="7">
        <v>14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F450" s="8"/>
    </row>
    <row r="451" spans="1:32" ht="12.3">
      <c r="A451" s="6" t="s">
        <v>301</v>
      </c>
      <c r="B451" s="6" t="s">
        <v>268</v>
      </c>
      <c r="C451" s="7">
        <v>14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F451" s="8"/>
    </row>
    <row r="452" spans="1:32" ht="12.3">
      <c r="A452" s="6" t="s">
        <v>301</v>
      </c>
      <c r="B452" s="6" t="s">
        <v>269</v>
      </c>
      <c r="C452" s="7">
        <v>14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F452" s="8"/>
    </row>
    <row r="453" spans="1:32" ht="12.3">
      <c r="A453" s="6" t="s">
        <v>301</v>
      </c>
      <c r="B453" s="6" t="s">
        <v>270</v>
      </c>
      <c r="C453" s="7">
        <v>14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F453" s="8"/>
    </row>
    <row r="454" spans="1:32" ht="12.3">
      <c r="A454" s="6" t="s">
        <v>301</v>
      </c>
      <c r="B454" s="6" t="s">
        <v>271</v>
      </c>
      <c r="C454" s="7">
        <v>14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F454" s="8"/>
    </row>
    <row r="455" spans="1:32" ht="12.3">
      <c r="A455" s="6" t="s">
        <v>301</v>
      </c>
      <c r="B455" s="6" t="s">
        <v>272</v>
      </c>
      <c r="C455" s="7">
        <v>14</v>
      </c>
      <c r="D455" s="7">
        <v>0</v>
      </c>
      <c r="E455" s="7">
        <v>2</v>
      </c>
      <c r="F455" s="7">
        <v>2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2</v>
      </c>
      <c r="W455" s="7">
        <v>0</v>
      </c>
      <c r="X455" s="7">
        <v>0</v>
      </c>
      <c r="Y455" s="7">
        <v>0</v>
      </c>
      <c r="Z455" s="7">
        <v>2</v>
      </c>
      <c r="AA455" s="7">
        <v>0</v>
      </c>
      <c r="AB455" s="7">
        <v>0</v>
      </c>
      <c r="AC455" s="7">
        <v>0</v>
      </c>
      <c r="AD455" s="7">
        <v>0</v>
      </c>
      <c r="AF455" s="8"/>
    </row>
    <row r="456" spans="1:32" ht="12.3">
      <c r="A456" s="6" t="s">
        <v>301</v>
      </c>
      <c r="B456" s="6" t="s">
        <v>273</v>
      </c>
      <c r="C456" s="7">
        <v>14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F456" s="8"/>
    </row>
    <row r="457" spans="1:32" ht="12.3">
      <c r="A457" s="6" t="s">
        <v>301</v>
      </c>
      <c r="B457" s="6" t="s">
        <v>132</v>
      </c>
      <c r="C457" s="7">
        <v>14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F457" s="8"/>
    </row>
    <row r="458" spans="1:32" ht="12.3">
      <c r="A458" s="6" t="s">
        <v>301</v>
      </c>
      <c r="B458" s="6" t="s">
        <v>261</v>
      </c>
      <c r="C458" s="7">
        <v>14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F458" s="8"/>
    </row>
    <row r="459" spans="1:32" ht="12.3">
      <c r="A459" s="6" t="s">
        <v>301</v>
      </c>
      <c r="B459" s="6" t="s">
        <v>262</v>
      </c>
      <c r="C459" s="7">
        <v>14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F459" s="8"/>
    </row>
    <row r="460" spans="1:32" ht="12.3">
      <c r="A460" s="6" t="s">
        <v>302</v>
      </c>
      <c r="B460" s="6" t="s">
        <v>280</v>
      </c>
      <c r="C460" s="7">
        <v>30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F460" s="8"/>
    </row>
    <row r="461" spans="1:32" ht="12.3">
      <c r="A461" s="6" t="s">
        <v>302</v>
      </c>
      <c r="B461" s="6" t="s">
        <v>282</v>
      </c>
      <c r="C461" s="7">
        <v>32</v>
      </c>
      <c r="D461" s="7">
        <v>0</v>
      </c>
      <c r="E461" s="7">
        <v>11</v>
      </c>
      <c r="F461" s="7">
        <v>11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11</v>
      </c>
      <c r="W461" s="7">
        <v>0</v>
      </c>
      <c r="X461" s="7">
        <v>0</v>
      </c>
      <c r="Y461" s="7">
        <v>0</v>
      </c>
      <c r="Z461" s="7">
        <v>11</v>
      </c>
      <c r="AA461" s="7">
        <v>0</v>
      </c>
      <c r="AB461" s="7">
        <v>0</v>
      </c>
      <c r="AC461" s="7">
        <v>0</v>
      </c>
      <c r="AD461" s="7">
        <v>0</v>
      </c>
      <c r="AF461" s="8"/>
    </row>
    <row r="462" spans="1:32" ht="12.3">
      <c r="A462" s="6" t="s">
        <v>302</v>
      </c>
      <c r="B462" s="6" t="s">
        <v>283</v>
      </c>
      <c r="C462" s="7">
        <v>32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F462" s="8"/>
    </row>
    <row r="463" spans="1:32" ht="12.3">
      <c r="A463" s="6" t="s">
        <v>302</v>
      </c>
      <c r="B463" s="6" t="s">
        <v>264</v>
      </c>
      <c r="C463" s="7">
        <v>46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F463" s="8"/>
    </row>
    <row r="464" spans="1:32" ht="12.3">
      <c r="A464" s="6" t="s">
        <v>302</v>
      </c>
      <c r="B464" s="6" t="s">
        <v>265</v>
      </c>
      <c r="C464" s="7">
        <v>46</v>
      </c>
      <c r="D464" s="7">
        <v>0</v>
      </c>
      <c r="E464" s="7">
        <v>14</v>
      </c>
      <c r="F464" s="7">
        <v>15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15</v>
      </c>
      <c r="W464" s="7">
        <v>0</v>
      </c>
      <c r="X464" s="7">
        <v>0</v>
      </c>
      <c r="Y464" s="7">
        <v>0</v>
      </c>
      <c r="Z464" s="7">
        <v>15</v>
      </c>
      <c r="AA464" s="7">
        <v>0</v>
      </c>
      <c r="AB464" s="7">
        <v>0</v>
      </c>
      <c r="AC464" s="7">
        <v>0</v>
      </c>
      <c r="AD464" s="7">
        <v>0</v>
      </c>
      <c r="AF464" s="8"/>
    </row>
    <row r="465" spans="1:33" ht="12.3">
      <c r="A465" s="6" t="s">
        <v>302</v>
      </c>
      <c r="B465" s="6" t="s">
        <v>112</v>
      </c>
      <c r="C465" s="7">
        <v>47</v>
      </c>
      <c r="D465" s="7">
        <v>2</v>
      </c>
      <c r="E465" s="7">
        <v>24</v>
      </c>
      <c r="F465" s="7">
        <v>53</v>
      </c>
      <c r="G465" s="7">
        <v>6</v>
      </c>
      <c r="H465" s="7">
        <v>0</v>
      </c>
      <c r="I465" s="7">
        <v>0</v>
      </c>
      <c r="J465" s="7">
        <v>0</v>
      </c>
      <c r="K465" s="7">
        <v>5</v>
      </c>
      <c r="L465" s="7">
        <v>0</v>
      </c>
      <c r="M465" s="7">
        <v>1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47</v>
      </c>
      <c r="W465" s="7">
        <v>0</v>
      </c>
      <c r="X465" s="7">
        <v>0</v>
      </c>
      <c r="Y465" s="7">
        <v>0</v>
      </c>
      <c r="Z465" s="7">
        <v>14</v>
      </c>
      <c r="AA465" s="7">
        <v>33</v>
      </c>
      <c r="AB465" s="7">
        <v>0</v>
      </c>
      <c r="AC465" s="7">
        <v>0</v>
      </c>
      <c r="AD465" s="7">
        <v>0</v>
      </c>
      <c r="AF465" s="8"/>
    </row>
    <row r="466" spans="1:33" ht="12.3">
      <c r="A466" s="6" t="s">
        <v>302</v>
      </c>
      <c r="B466" s="6" t="s">
        <v>267</v>
      </c>
      <c r="C466" s="7">
        <v>48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F466" s="8"/>
    </row>
    <row r="467" spans="1:33" ht="12.3">
      <c r="A467" s="6" t="s">
        <v>302</v>
      </c>
      <c r="B467" s="6" t="s">
        <v>268</v>
      </c>
      <c r="C467" s="7">
        <v>48</v>
      </c>
      <c r="D467" s="7">
        <v>0</v>
      </c>
      <c r="E467" s="7">
        <v>15</v>
      </c>
      <c r="F467" s="7">
        <v>15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15</v>
      </c>
      <c r="W467" s="7">
        <v>0</v>
      </c>
      <c r="X467" s="7">
        <v>0</v>
      </c>
      <c r="Y467" s="7">
        <v>0</v>
      </c>
      <c r="Z467" s="7">
        <v>15</v>
      </c>
      <c r="AA467" s="7">
        <v>0</v>
      </c>
      <c r="AB467" s="7">
        <v>0</v>
      </c>
      <c r="AC467" s="7">
        <v>0</v>
      </c>
      <c r="AD467" s="7">
        <v>0</v>
      </c>
      <c r="AE467" s="7"/>
      <c r="AF467" s="8"/>
      <c r="AG467" s="8"/>
    </row>
    <row r="468" spans="1:33" ht="12.3">
      <c r="A468" s="6" t="s">
        <v>302</v>
      </c>
      <c r="B468" s="6" t="s">
        <v>269</v>
      </c>
      <c r="C468" s="7">
        <v>48</v>
      </c>
      <c r="D468" s="7">
        <v>0</v>
      </c>
      <c r="E468" s="7">
        <v>15</v>
      </c>
      <c r="F468" s="7">
        <v>15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15</v>
      </c>
      <c r="W468" s="7">
        <v>0</v>
      </c>
      <c r="X468" s="7">
        <v>0</v>
      </c>
      <c r="Y468" s="7">
        <v>0</v>
      </c>
      <c r="Z468" s="7">
        <v>15</v>
      </c>
      <c r="AA468" s="7">
        <v>0</v>
      </c>
      <c r="AB468" s="7">
        <v>0</v>
      </c>
      <c r="AC468" s="7">
        <v>0</v>
      </c>
      <c r="AD468" s="7">
        <v>0</v>
      </c>
      <c r="AE468" s="7"/>
      <c r="AF468" s="8"/>
      <c r="AG468" s="8"/>
    </row>
    <row r="469" spans="1:33" ht="12.3">
      <c r="A469" s="6" t="s">
        <v>302</v>
      </c>
      <c r="B469" s="6" t="s">
        <v>270</v>
      </c>
      <c r="C469" s="7">
        <v>48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/>
      <c r="AF469" s="8"/>
      <c r="AG469" s="8"/>
    </row>
    <row r="470" spans="1:33" ht="12.3">
      <c r="A470" s="6" t="s">
        <v>302</v>
      </c>
      <c r="B470" s="6" t="s">
        <v>271</v>
      </c>
      <c r="C470" s="7">
        <v>48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/>
      <c r="AF470" s="8"/>
      <c r="AG470" s="8"/>
    </row>
    <row r="471" spans="1:33" ht="12.3">
      <c r="A471" s="6" t="s">
        <v>302</v>
      </c>
      <c r="B471" s="6" t="s">
        <v>272</v>
      </c>
      <c r="C471" s="7">
        <v>48</v>
      </c>
      <c r="D471" s="7">
        <v>0</v>
      </c>
      <c r="E471" s="7">
        <v>15</v>
      </c>
      <c r="F471" s="7">
        <v>15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15</v>
      </c>
      <c r="W471" s="7">
        <v>0</v>
      </c>
      <c r="X471" s="7">
        <v>0</v>
      </c>
      <c r="Y471" s="7">
        <v>0</v>
      </c>
      <c r="Z471" s="7">
        <v>15</v>
      </c>
      <c r="AA471" s="7">
        <v>0</v>
      </c>
      <c r="AB471" s="7">
        <v>0</v>
      </c>
      <c r="AC471" s="7">
        <v>0</v>
      </c>
      <c r="AD471" s="7">
        <v>0</v>
      </c>
      <c r="AE471" s="7"/>
      <c r="AF471" s="8"/>
      <c r="AG471" s="8"/>
    </row>
    <row r="472" spans="1:33" ht="12.3">
      <c r="A472" s="6" t="s">
        <v>302</v>
      </c>
      <c r="B472" s="6" t="s">
        <v>273</v>
      </c>
      <c r="C472" s="7">
        <v>48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/>
      <c r="AF472" s="8"/>
      <c r="AG472" s="8"/>
    </row>
    <row r="473" spans="1:33" ht="12.3">
      <c r="A473" s="6" t="s">
        <v>302</v>
      </c>
      <c r="B473" s="6" t="s">
        <v>132</v>
      </c>
      <c r="C473" s="7">
        <v>43</v>
      </c>
      <c r="D473" s="7">
        <v>5</v>
      </c>
      <c r="E473" s="7">
        <v>14</v>
      </c>
      <c r="F473" s="7">
        <v>74</v>
      </c>
      <c r="G473" s="7">
        <v>59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5</v>
      </c>
      <c r="N473" s="7">
        <v>35</v>
      </c>
      <c r="O473" s="7">
        <v>0</v>
      </c>
      <c r="P473" s="7">
        <v>0</v>
      </c>
      <c r="Q473" s="7">
        <v>0</v>
      </c>
      <c r="R473" s="7">
        <v>19</v>
      </c>
      <c r="S473" s="7">
        <v>0</v>
      </c>
      <c r="T473" s="7">
        <v>0</v>
      </c>
      <c r="U473" s="7">
        <v>0</v>
      </c>
      <c r="V473" s="7">
        <v>15</v>
      </c>
      <c r="W473" s="7">
        <v>0</v>
      </c>
      <c r="X473" s="7">
        <v>0</v>
      </c>
      <c r="Y473" s="7">
        <v>0</v>
      </c>
      <c r="Z473" s="7">
        <v>15</v>
      </c>
      <c r="AA473" s="7">
        <v>0</v>
      </c>
      <c r="AB473" s="7">
        <v>0</v>
      </c>
      <c r="AC473" s="7">
        <v>0</v>
      </c>
      <c r="AD473" s="7">
        <v>0</v>
      </c>
      <c r="AE473" s="7"/>
      <c r="AF473" s="8"/>
      <c r="AG473" s="8"/>
    </row>
    <row r="474" spans="1:33" ht="12.3">
      <c r="A474" s="6" t="s">
        <v>302</v>
      </c>
      <c r="B474" s="6" t="s">
        <v>261</v>
      </c>
      <c r="C474" s="7">
        <v>38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/>
      <c r="AF474" s="8"/>
      <c r="AG474" s="8"/>
    </row>
    <row r="475" spans="1:33" ht="12.3">
      <c r="A475" s="6" t="s">
        <v>302</v>
      </c>
      <c r="B475" s="6" t="s">
        <v>262</v>
      </c>
      <c r="C475" s="7">
        <v>38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/>
      <c r="AF475" s="8"/>
      <c r="AG475" s="8"/>
    </row>
    <row r="476" spans="1:33" ht="12.3">
      <c r="A476" s="6" t="s">
        <v>302</v>
      </c>
      <c r="B476" s="6" t="s">
        <v>303</v>
      </c>
      <c r="C476" s="7">
        <v>38</v>
      </c>
      <c r="D476" s="7">
        <v>0</v>
      </c>
      <c r="E476" s="7">
        <v>14</v>
      </c>
      <c r="F476" s="7">
        <v>14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14</v>
      </c>
      <c r="W476" s="7">
        <v>0</v>
      </c>
      <c r="X476" s="7">
        <v>0</v>
      </c>
      <c r="Y476" s="7">
        <v>0</v>
      </c>
      <c r="Z476" s="7">
        <v>14</v>
      </c>
      <c r="AA476" s="7">
        <v>0</v>
      </c>
      <c r="AB476" s="7">
        <v>0</v>
      </c>
      <c r="AC476" s="7">
        <v>0</v>
      </c>
      <c r="AD476" s="7">
        <v>0</v>
      </c>
      <c r="AE476" s="7"/>
      <c r="AF476" s="8"/>
      <c r="AG476" s="8"/>
    </row>
    <row r="477" spans="1:33" ht="12.3">
      <c r="A477" s="6" t="s">
        <v>302</v>
      </c>
      <c r="B477" s="6" t="s">
        <v>296</v>
      </c>
      <c r="C477" s="7">
        <v>45</v>
      </c>
      <c r="D477" s="7">
        <v>7</v>
      </c>
      <c r="E477" s="7">
        <v>21</v>
      </c>
      <c r="F477" s="7">
        <v>107</v>
      </c>
      <c r="G477" s="7">
        <v>61</v>
      </c>
      <c r="H477" s="7">
        <v>0</v>
      </c>
      <c r="I477" s="7">
        <v>0</v>
      </c>
      <c r="J477" s="7">
        <v>0</v>
      </c>
      <c r="K477" s="7">
        <v>61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46</v>
      </c>
      <c r="W477" s="7">
        <v>0</v>
      </c>
      <c r="X477" s="7">
        <v>0</v>
      </c>
      <c r="Y477" s="7">
        <v>0</v>
      </c>
      <c r="Z477" s="7">
        <v>15</v>
      </c>
      <c r="AA477" s="7">
        <v>31</v>
      </c>
      <c r="AB477" s="7">
        <v>0</v>
      </c>
      <c r="AC477" s="7">
        <v>0</v>
      </c>
      <c r="AD477" s="7">
        <v>0</v>
      </c>
      <c r="AF477" s="8"/>
    </row>
    <row r="478" spans="1:33" ht="12.3">
      <c r="A478" s="6" t="s">
        <v>304</v>
      </c>
      <c r="B478" s="6" t="s">
        <v>160</v>
      </c>
      <c r="C478" s="7">
        <v>2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F478" s="8"/>
    </row>
    <row r="479" spans="1:33" ht="12.3">
      <c r="A479" s="6" t="s">
        <v>304</v>
      </c>
      <c r="B479" s="6" t="s">
        <v>264</v>
      </c>
      <c r="C479" s="7">
        <v>2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F479" s="8"/>
    </row>
    <row r="480" spans="1:33" ht="12.3">
      <c r="A480" s="6" t="s">
        <v>304</v>
      </c>
      <c r="B480" s="6" t="s">
        <v>265</v>
      </c>
      <c r="C480" s="7">
        <v>2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F480" s="8"/>
    </row>
    <row r="481" spans="1:32" ht="12.3">
      <c r="A481" s="6" t="s">
        <v>304</v>
      </c>
      <c r="B481" s="6" t="s">
        <v>266</v>
      </c>
      <c r="C481" s="7">
        <v>2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F481" s="8"/>
    </row>
    <row r="482" spans="1:32" ht="12.3">
      <c r="A482" s="6" t="s">
        <v>304</v>
      </c>
      <c r="B482" s="6" t="s">
        <v>112</v>
      </c>
      <c r="C482" s="7">
        <v>2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F482" s="8"/>
    </row>
    <row r="483" spans="1:32" ht="12.3">
      <c r="A483" s="6" t="s">
        <v>304</v>
      </c>
      <c r="B483" s="6" t="s">
        <v>267</v>
      </c>
      <c r="C483" s="7">
        <v>2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F483" s="8"/>
    </row>
    <row r="484" spans="1:32" ht="12.3">
      <c r="A484" s="6" t="s">
        <v>304</v>
      </c>
      <c r="B484" s="6" t="s">
        <v>268</v>
      </c>
      <c r="C484" s="7">
        <v>2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F484" s="8"/>
    </row>
    <row r="485" spans="1:32" ht="12.3">
      <c r="A485" s="6" t="s">
        <v>304</v>
      </c>
      <c r="B485" s="6" t="s">
        <v>269</v>
      </c>
      <c r="C485" s="7">
        <v>2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F485" s="8"/>
    </row>
    <row r="486" spans="1:32" ht="12.3">
      <c r="A486" s="6" t="s">
        <v>304</v>
      </c>
      <c r="B486" s="6" t="s">
        <v>270</v>
      </c>
      <c r="C486" s="7">
        <v>2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F486" s="8"/>
    </row>
    <row r="487" spans="1:32" ht="12.3">
      <c r="A487" s="6" t="s">
        <v>304</v>
      </c>
      <c r="B487" s="6" t="s">
        <v>271</v>
      </c>
      <c r="C487" s="7">
        <v>2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F487" s="8"/>
    </row>
    <row r="488" spans="1:32" ht="12.3">
      <c r="A488" s="6" t="s">
        <v>304</v>
      </c>
      <c r="B488" s="6" t="s">
        <v>272</v>
      </c>
      <c r="C488" s="7">
        <v>2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F488" s="8"/>
    </row>
    <row r="489" spans="1:32" ht="12.3">
      <c r="A489" s="6" t="s">
        <v>304</v>
      </c>
      <c r="B489" s="6" t="s">
        <v>273</v>
      </c>
      <c r="C489" s="7">
        <v>2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F489" s="8"/>
    </row>
    <row r="490" spans="1:32" ht="12.3">
      <c r="A490" s="6" t="s">
        <v>304</v>
      </c>
      <c r="B490" s="6" t="s">
        <v>132</v>
      </c>
      <c r="C490" s="7">
        <v>2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F490" s="8"/>
    </row>
    <row r="491" spans="1:32" ht="12.3">
      <c r="A491" s="6" t="s">
        <v>304</v>
      </c>
      <c r="B491" s="6" t="s">
        <v>261</v>
      </c>
      <c r="C491" s="7">
        <v>2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F491" s="8"/>
    </row>
    <row r="492" spans="1:32" ht="12.3">
      <c r="A492" s="6" t="s">
        <v>304</v>
      </c>
      <c r="B492" s="6" t="s">
        <v>262</v>
      </c>
      <c r="C492" s="7">
        <v>2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F492" s="8"/>
    </row>
    <row r="493" spans="1:32" ht="12.3">
      <c r="A493" s="6" t="s">
        <v>305</v>
      </c>
      <c r="B493" s="6" t="s">
        <v>132</v>
      </c>
      <c r="C493" s="7">
        <v>10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F493" s="8"/>
    </row>
    <row r="494" spans="1:32" ht="12.3">
      <c r="A494" s="6" t="s">
        <v>305</v>
      </c>
      <c r="B494" s="6" t="s">
        <v>261</v>
      </c>
      <c r="C494" s="7">
        <v>10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F494" s="8"/>
    </row>
    <row r="495" spans="1:32" ht="12.3">
      <c r="A495" s="6" t="s">
        <v>305</v>
      </c>
      <c r="B495" s="6" t="s">
        <v>262</v>
      </c>
      <c r="C495" s="7">
        <v>10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F495" s="8"/>
    </row>
    <row r="496" spans="1:32" ht="12.3">
      <c r="A496" s="6" t="s">
        <v>306</v>
      </c>
      <c r="B496" s="6" t="s">
        <v>132</v>
      </c>
      <c r="C496" s="7">
        <v>16</v>
      </c>
      <c r="D496" s="7">
        <v>0</v>
      </c>
      <c r="E496" s="7">
        <v>5</v>
      </c>
      <c r="F496" s="7">
        <v>4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4</v>
      </c>
      <c r="W496" s="7">
        <v>0</v>
      </c>
      <c r="X496" s="7">
        <v>0</v>
      </c>
      <c r="Y496" s="7">
        <v>0</v>
      </c>
      <c r="Z496" s="7">
        <v>4</v>
      </c>
      <c r="AA496" s="7">
        <v>0</v>
      </c>
      <c r="AB496" s="7">
        <v>0</v>
      </c>
      <c r="AC496" s="7">
        <v>0</v>
      </c>
      <c r="AD496" s="7">
        <v>0</v>
      </c>
      <c r="AF496" s="8"/>
    </row>
    <row r="497" spans="1:33" ht="12.3">
      <c r="A497" s="6" t="s">
        <v>306</v>
      </c>
      <c r="B497" s="6" t="s">
        <v>261</v>
      </c>
      <c r="C497" s="7">
        <v>16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F497" s="8"/>
    </row>
    <row r="498" spans="1:33" ht="12.3">
      <c r="A498" s="6" t="s">
        <v>306</v>
      </c>
      <c r="B498" s="6" t="s">
        <v>262</v>
      </c>
      <c r="C498" s="7">
        <v>16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F498" s="8"/>
    </row>
    <row r="499" spans="1:33" ht="12.3">
      <c r="A499" s="6" t="s">
        <v>307</v>
      </c>
      <c r="B499" s="6" t="s">
        <v>279</v>
      </c>
      <c r="C499" s="7">
        <v>6</v>
      </c>
      <c r="D499" s="7">
        <v>0</v>
      </c>
      <c r="E499" s="7">
        <v>0</v>
      </c>
      <c r="F499" s="7">
        <v>1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1</v>
      </c>
      <c r="W499" s="7">
        <v>0</v>
      </c>
      <c r="X499" s="7">
        <v>0</v>
      </c>
      <c r="Y499" s="7">
        <v>0</v>
      </c>
      <c r="Z499" s="7">
        <v>1</v>
      </c>
      <c r="AA499" s="7">
        <v>0</v>
      </c>
      <c r="AB499" s="7">
        <v>0</v>
      </c>
      <c r="AC499" s="7">
        <v>0</v>
      </c>
      <c r="AD499" s="7">
        <v>0</v>
      </c>
      <c r="AF499" s="8"/>
    </row>
    <row r="500" spans="1:33" ht="12.3">
      <c r="A500" s="6" t="s">
        <v>307</v>
      </c>
      <c r="B500" s="6" t="s">
        <v>280</v>
      </c>
      <c r="C500" s="7">
        <v>6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F500" s="8"/>
    </row>
    <row r="501" spans="1:33" ht="12.3">
      <c r="A501" s="6" t="s">
        <v>307</v>
      </c>
      <c r="B501" s="6" t="s">
        <v>281</v>
      </c>
      <c r="C501" s="7">
        <v>6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F501" s="8"/>
    </row>
    <row r="502" spans="1:33" ht="12.3">
      <c r="A502" s="6" t="s">
        <v>307</v>
      </c>
      <c r="B502" s="6" t="s">
        <v>282</v>
      </c>
      <c r="C502" s="7">
        <v>6</v>
      </c>
      <c r="D502" s="7">
        <v>0</v>
      </c>
      <c r="E502" s="7">
        <v>1</v>
      </c>
      <c r="F502" s="7">
        <v>1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1</v>
      </c>
      <c r="W502" s="7">
        <v>0</v>
      </c>
      <c r="X502" s="7">
        <v>0</v>
      </c>
      <c r="Y502" s="7">
        <v>0</v>
      </c>
      <c r="Z502" s="7">
        <v>1</v>
      </c>
      <c r="AA502" s="7">
        <v>0</v>
      </c>
      <c r="AB502" s="7">
        <v>0</v>
      </c>
      <c r="AC502" s="7">
        <v>0</v>
      </c>
      <c r="AD502" s="7">
        <v>0</v>
      </c>
      <c r="AF502" s="8"/>
    </row>
    <row r="503" spans="1:33" ht="12.3">
      <c r="A503" s="6" t="s">
        <v>307</v>
      </c>
      <c r="B503" s="6" t="s">
        <v>283</v>
      </c>
      <c r="C503" s="7">
        <v>6</v>
      </c>
      <c r="D503" s="7">
        <v>0</v>
      </c>
      <c r="E503" s="7">
        <v>1</v>
      </c>
      <c r="F503" s="7">
        <v>1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1</v>
      </c>
      <c r="W503" s="7">
        <v>0</v>
      </c>
      <c r="X503" s="7">
        <v>0</v>
      </c>
      <c r="Y503" s="7">
        <v>0</v>
      </c>
      <c r="Z503" s="7">
        <v>1</v>
      </c>
      <c r="AA503" s="7">
        <v>0</v>
      </c>
      <c r="AB503" s="7">
        <v>0</v>
      </c>
      <c r="AC503" s="7">
        <v>0</v>
      </c>
      <c r="AD503" s="7">
        <v>0</v>
      </c>
      <c r="AE503" s="7"/>
      <c r="AF503" s="8"/>
      <c r="AG503" s="8"/>
    </row>
    <row r="504" spans="1:33" ht="12.3">
      <c r="A504" s="6" t="s">
        <v>307</v>
      </c>
      <c r="B504" s="6" t="s">
        <v>284</v>
      </c>
      <c r="C504" s="7">
        <v>6</v>
      </c>
      <c r="D504" s="7">
        <v>1</v>
      </c>
      <c r="E504" s="7">
        <v>1</v>
      </c>
      <c r="F504" s="7">
        <v>4</v>
      </c>
      <c r="G504" s="7">
        <v>3</v>
      </c>
      <c r="H504" s="7">
        <v>0</v>
      </c>
      <c r="I504" s="7">
        <v>0</v>
      </c>
      <c r="J504" s="7">
        <v>0</v>
      </c>
      <c r="K504" s="7">
        <v>3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1</v>
      </c>
      <c r="W504" s="7">
        <v>0</v>
      </c>
      <c r="X504" s="7">
        <v>0</v>
      </c>
      <c r="Y504" s="7">
        <v>0</v>
      </c>
      <c r="Z504" s="7">
        <v>0</v>
      </c>
      <c r="AA504" s="7">
        <v>1</v>
      </c>
      <c r="AB504" s="7">
        <v>0</v>
      </c>
      <c r="AC504" s="7">
        <v>0</v>
      </c>
      <c r="AD504" s="7">
        <v>0</v>
      </c>
      <c r="AE504" s="7"/>
      <c r="AF504" s="8"/>
      <c r="AG504" s="8"/>
    </row>
    <row r="505" spans="1:33" ht="12.3">
      <c r="A505" s="6" t="s">
        <v>307</v>
      </c>
      <c r="B505" s="6" t="s">
        <v>160</v>
      </c>
      <c r="C505" s="7">
        <v>6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/>
      <c r="AF505" s="8"/>
      <c r="AG505" s="8"/>
    </row>
    <row r="506" spans="1:33" ht="12.3">
      <c r="A506" s="6" t="s">
        <v>307</v>
      </c>
      <c r="B506" s="6" t="s">
        <v>264</v>
      </c>
      <c r="C506" s="7">
        <v>6</v>
      </c>
      <c r="D506" s="7">
        <v>0</v>
      </c>
      <c r="E506" s="7">
        <v>1</v>
      </c>
      <c r="F506" s="7">
        <v>1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1</v>
      </c>
      <c r="W506" s="7">
        <v>0</v>
      </c>
      <c r="X506" s="7">
        <v>0</v>
      </c>
      <c r="Y506" s="7">
        <v>0</v>
      </c>
      <c r="Z506" s="7">
        <v>1</v>
      </c>
      <c r="AA506" s="7">
        <v>0</v>
      </c>
      <c r="AB506" s="7">
        <v>0</v>
      </c>
      <c r="AC506" s="7">
        <v>0</v>
      </c>
      <c r="AD506" s="7">
        <v>0</v>
      </c>
      <c r="AE506" s="7"/>
      <c r="AF506" s="8"/>
      <c r="AG506" s="8"/>
    </row>
    <row r="507" spans="1:33" ht="12.3">
      <c r="A507" s="6" t="s">
        <v>307</v>
      </c>
      <c r="B507" s="6" t="s">
        <v>265</v>
      </c>
      <c r="C507" s="7">
        <v>6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/>
      <c r="AF507" s="8"/>
      <c r="AG507" s="8"/>
    </row>
    <row r="508" spans="1:33" ht="12.3">
      <c r="A508" s="6" t="s">
        <v>307</v>
      </c>
      <c r="B508" s="6" t="s">
        <v>266</v>
      </c>
      <c r="C508" s="7">
        <v>6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/>
      <c r="AF508" s="8"/>
      <c r="AG508" s="8"/>
    </row>
    <row r="509" spans="1:33" ht="12.3">
      <c r="A509" s="6" t="s">
        <v>307</v>
      </c>
      <c r="B509" s="6" t="s">
        <v>112</v>
      </c>
      <c r="C509" s="7">
        <v>6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/>
      <c r="AF509" s="8"/>
      <c r="AG509" s="8"/>
    </row>
    <row r="510" spans="1:33" ht="12.3">
      <c r="A510" s="6" t="s">
        <v>307</v>
      </c>
      <c r="B510" s="6" t="s">
        <v>267</v>
      </c>
      <c r="C510" s="7">
        <v>6</v>
      </c>
      <c r="D510" s="7">
        <v>0</v>
      </c>
      <c r="E510" s="7">
        <v>1</v>
      </c>
      <c r="F510" s="7">
        <v>1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1</v>
      </c>
      <c r="W510" s="7">
        <v>0</v>
      </c>
      <c r="X510" s="7">
        <v>0</v>
      </c>
      <c r="Y510" s="7">
        <v>0</v>
      </c>
      <c r="Z510" s="7">
        <v>1</v>
      </c>
      <c r="AA510" s="7">
        <v>0</v>
      </c>
      <c r="AB510" s="7">
        <v>0</v>
      </c>
      <c r="AC510" s="7">
        <v>0</v>
      </c>
      <c r="AD510" s="7">
        <v>0</v>
      </c>
      <c r="AE510" s="7"/>
      <c r="AF510" s="8"/>
      <c r="AG510" s="8"/>
    </row>
    <row r="511" spans="1:33" ht="12.3">
      <c r="A511" s="6" t="s">
        <v>307</v>
      </c>
      <c r="B511" s="6" t="s">
        <v>268</v>
      </c>
      <c r="C511" s="7">
        <v>6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/>
      <c r="AF511" s="8"/>
      <c r="AG511" s="8"/>
    </row>
    <row r="512" spans="1:33" ht="12.3">
      <c r="A512" s="6" t="s">
        <v>307</v>
      </c>
      <c r="B512" s="6" t="s">
        <v>269</v>
      </c>
      <c r="C512" s="7">
        <v>6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/>
      <c r="AF512" s="8"/>
      <c r="AG512" s="8"/>
    </row>
    <row r="513" spans="1:32" ht="12.3">
      <c r="A513" s="6" t="s">
        <v>307</v>
      </c>
      <c r="B513" s="6" t="s">
        <v>270</v>
      </c>
      <c r="C513" s="7">
        <v>6</v>
      </c>
      <c r="D513" s="7">
        <v>0</v>
      </c>
      <c r="E513" s="7">
        <v>1</v>
      </c>
      <c r="F513" s="7">
        <v>1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1</v>
      </c>
      <c r="W513" s="7">
        <v>0</v>
      </c>
      <c r="X513" s="7">
        <v>0</v>
      </c>
      <c r="Y513" s="7">
        <v>0</v>
      </c>
      <c r="Z513" s="7">
        <v>1</v>
      </c>
      <c r="AA513" s="7">
        <v>0</v>
      </c>
      <c r="AB513" s="7">
        <v>0</v>
      </c>
      <c r="AC513" s="7">
        <v>0</v>
      </c>
      <c r="AD513" s="7">
        <v>0</v>
      </c>
      <c r="AF513" s="8"/>
    </row>
    <row r="514" spans="1:32" ht="12.3">
      <c r="A514" s="6" t="s">
        <v>307</v>
      </c>
      <c r="B514" s="6" t="s">
        <v>271</v>
      </c>
      <c r="C514" s="7">
        <v>6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F514" s="8"/>
    </row>
    <row r="515" spans="1:32" ht="12.3">
      <c r="A515" s="6" t="s">
        <v>307</v>
      </c>
      <c r="B515" s="6" t="s">
        <v>272</v>
      </c>
      <c r="C515" s="7">
        <v>6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F515" s="8"/>
    </row>
    <row r="516" spans="1:32" ht="12.3">
      <c r="A516" s="6" t="s">
        <v>307</v>
      </c>
      <c r="B516" s="6" t="s">
        <v>273</v>
      </c>
      <c r="C516" s="7">
        <v>6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F516" s="8"/>
    </row>
    <row r="517" spans="1:32" ht="12.3">
      <c r="A517" s="6" t="s">
        <v>307</v>
      </c>
      <c r="B517" s="6" t="s">
        <v>132</v>
      </c>
      <c r="C517" s="7">
        <v>6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F517" s="8"/>
    </row>
    <row r="518" spans="1:32" ht="12.3">
      <c r="A518" s="6" t="s">
        <v>307</v>
      </c>
      <c r="B518" s="6" t="s">
        <v>261</v>
      </c>
      <c r="C518" s="7">
        <v>6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F518" s="8"/>
    </row>
    <row r="519" spans="1:32" ht="12.3">
      <c r="A519" s="6" t="s">
        <v>307</v>
      </c>
      <c r="B519" s="6" t="s">
        <v>262</v>
      </c>
      <c r="C519" s="7">
        <v>6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F519" s="8"/>
    </row>
    <row r="520" spans="1:32" ht="12.3">
      <c r="A520" s="6" t="s">
        <v>308</v>
      </c>
      <c r="B520" s="6" t="s">
        <v>268</v>
      </c>
      <c r="C520" s="7">
        <v>6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F520" s="8"/>
    </row>
    <row r="521" spans="1:32" ht="12.3">
      <c r="A521" s="6" t="s">
        <v>308</v>
      </c>
      <c r="B521" s="6" t="s">
        <v>269</v>
      </c>
      <c r="C521" s="7">
        <v>6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F521" s="8"/>
    </row>
    <row r="522" spans="1:32" ht="12.3">
      <c r="A522" s="6" t="s">
        <v>308</v>
      </c>
      <c r="B522" s="6" t="s">
        <v>270</v>
      </c>
      <c r="C522" s="7">
        <v>6</v>
      </c>
      <c r="D522" s="7">
        <v>0</v>
      </c>
      <c r="E522" s="7">
        <v>1</v>
      </c>
      <c r="F522" s="7">
        <v>1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1</v>
      </c>
      <c r="W522" s="7">
        <v>0</v>
      </c>
      <c r="X522" s="7">
        <v>0</v>
      </c>
      <c r="Y522" s="7">
        <v>0</v>
      </c>
      <c r="Z522" s="7">
        <v>1</v>
      </c>
      <c r="AA522" s="7">
        <v>0</v>
      </c>
      <c r="AB522" s="7">
        <v>0</v>
      </c>
      <c r="AC522" s="7">
        <v>0</v>
      </c>
      <c r="AD522" s="7">
        <v>0</v>
      </c>
      <c r="AF522" s="8"/>
    </row>
    <row r="523" spans="1:32" ht="12.3">
      <c r="A523" s="6" t="s">
        <v>308</v>
      </c>
      <c r="B523" s="6" t="s">
        <v>271</v>
      </c>
      <c r="C523" s="7">
        <v>6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F523" s="8"/>
    </row>
    <row r="524" spans="1:32" ht="12.3">
      <c r="A524" s="6" t="s">
        <v>308</v>
      </c>
      <c r="B524" s="6" t="s">
        <v>272</v>
      </c>
      <c r="C524" s="7">
        <v>6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F524" s="8"/>
    </row>
    <row r="525" spans="1:32" ht="12.3">
      <c r="A525" s="6" t="s">
        <v>308</v>
      </c>
      <c r="B525" s="6" t="s">
        <v>273</v>
      </c>
      <c r="C525" s="7">
        <v>6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F525" s="8"/>
    </row>
    <row r="526" spans="1:32" ht="12.3">
      <c r="A526" s="6" t="s">
        <v>308</v>
      </c>
      <c r="B526" s="6" t="s">
        <v>132</v>
      </c>
      <c r="C526" s="7">
        <v>6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F526" s="8"/>
    </row>
    <row r="527" spans="1:32" ht="12.3">
      <c r="A527" s="6" t="s">
        <v>308</v>
      </c>
      <c r="B527" s="6" t="s">
        <v>261</v>
      </c>
      <c r="C527" s="7">
        <v>6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F527" s="8"/>
    </row>
    <row r="528" spans="1:32" ht="12.3">
      <c r="A528" s="6" t="s">
        <v>308</v>
      </c>
      <c r="B528" s="6" t="s">
        <v>262</v>
      </c>
      <c r="C528" s="7">
        <v>6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F528" s="8"/>
    </row>
    <row r="529" spans="1:32" ht="12.3">
      <c r="A529" s="6" t="s">
        <v>309</v>
      </c>
      <c r="B529" s="6" t="s">
        <v>281</v>
      </c>
      <c r="C529" s="7">
        <v>10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F529" s="8"/>
    </row>
    <row r="530" spans="1:32" ht="12.3">
      <c r="A530" s="6" t="s">
        <v>309</v>
      </c>
      <c r="B530" s="6" t="s">
        <v>282</v>
      </c>
      <c r="C530" s="7">
        <v>10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F530" s="8"/>
    </row>
    <row r="531" spans="1:32" ht="12.3">
      <c r="A531" s="6" t="s">
        <v>309</v>
      </c>
      <c r="B531" s="6" t="s">
        <v>283</v>
      </c>
      <c r="C531" s="7">
        <v>10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F531" s="8"/>
    </row>
    <row r="532" spans="1:32" ht="12.3">
      <c r="A532" s="6" t="s">
        <v>309</v>
      </c>
      <c r="B532" s="6" t="s">
        <v>284</v>
      </c>
      <c r="C532" s="7">
        <v>10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F532" s="8"/>
    </row>
    <row r="533" spans="1:32" ht="12.3">
      <c r="A533" s="6" t="s">
        <v>309</v>
      </c>
      <c r="B533" s="6" t="s">
        <v>160</v>
      </c>
      <c r="C533" s="7">
        <v>10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F533" s="8"/>
    </row>
    <row r="534" spans="1:32" ht="12.3">
      <c r="A534" s="6" t="s">
        <v>309</v>
      </c>
      <c r="B534" s="6" t="s">
        <v>264</v>
      </c>
      <c r="C534" s="7">
        <v>10</v>
      </c>
      <c r="D534" s="7">
        <v>0</v>
      </c>
      <c r="E534" s="7">
        <v>2</v>
      </c>
      <c r="F534" s="7">
        <v>4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4</v>
      </c>
      <c r="W534" s="7">
        <v>0</v>
      </c>
      <c r="X534" s="7">
        <v>0</v>
      </c>
      <c r="Y534" s="7">
        <v>0</v>
      </c>
      <c r="Z534" s="7">
        <v>4</v>
      </c>
      <c r="AA534" s="7">
        <v>0</v>
      </c>
      <c r="AB534" s="7">
        <v>0</v>
      </c>
      <c r="AC534" s="7">
        <v>0</v>
      </c>
      <c r="AD534" s="7">
        <v>0</v>
      </c>
      <c r="AF534" s="8"/>
    </row>
    <row r="535" spans="1:32" ht="12.3">
      <c r="A535" s="6" t="s">
        <v>309</v>
      </c>
      <c r="B535" s="6" t="s">
        <v>265</v>
      </c>
      <c r="C535" s="7">
        <v>10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F535" s="8"/>
    </row>
    <row r="536" spans="1:32" ht="12.3">
      <c r="A536" s="6" t="s">
        <v>309</v>
      </c>
      <c r="B536" s="6" t="s">
        <v>266</v>
      </c>
      <c r="C536" s="7">
        <v>10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F536" s="8"/>
    </row>
    <row r="537" spans="1:32" ht="12.3">
      <c r="A537" s="6" t="s">
        <v>309</v>
      </c>
      <c r="B537" s="6" t="s">
        <v>112</v>
      </c>
      <c r="C537" s="7">
        <v>10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F537" s="8"/>
    </row>
    <row r="538" spans="1:32" ht="12.3">
      <c r="A538" s="6" t="s">
        <v>309</v>
      </c>
      <c r="B538" s="6" t="s">
        <v>267</v>
      </c>
      <c r="C538" s="7">
        <v>10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F538" s="8"/>
    </row>
    <row r="539" spans="1:32" ht="12.3">
      <c r="A539" s="6" t="s">
        <v>309</v>
      </c>
      <c r="B539" s="6" t="s">
        <v>268</v>
      </c>
      <c r="C539" s="7">
        <v>10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F539" s="8"/>
    </row>
    <row r="540" spans="1:32" ht="12.3">
      <c r="A540" s="6" t="s">
        <v>309</v>
      </c>
      <c r="B540" s="6" t="s">
        <v>269</v>
      </c>
      <c r="C540" s="7">
        <v>10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F540" s="8"/>
    </row>
    <row r="541" spans="1:32" ht="12.3">
      <c r="A541" s="6" t="s">
        <v>309</v>
      </c>
      <c r="B541" s="6" t="s">
        <v>270</v>
      </c>
      <c r="C541" s="7">
        <v>10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F541" s="8"/>
    </row>
    <row r="542" spans="1:32" ht="12.3">
      <c r="A542" s="6" t="s">
        <v>309</v>
      </c>
      <c r="B542" s="6" t="s">
        <v>271</v>
      </c>
      <c r="C542" s="7">
        <v>10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F542" s="8"/>
    </row>
    <row r="543" spans="1:32" ht="12.3">
      <c r="A543" s="6" t="s">
        <v>309</v>
      </c>
      <c r="B543" s="6" t="s">
        <v>272</v>
      </c>
      <c r="C543" s="7">
        <v>10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F543" s="8"/>
    </row>
    <row r="544" spans="1:32" ht="12.3">
      <c r="A544" s="6" t="s">
        <v>309</v>
      </c>
      <c r="B544" s="6" t="s">
        <v>273</v>
      </c>
      <c r="C544" s="7">
        <v>10</v>
      </c>
      <c r="D544" s="7">
        <v>0</v>
      </c>
      <c r="E544" s="7">
        <v>2</v>
      </c>
      <c r="F544" s="7">
        <v>4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4</v>
      </c>
      <c r="W544" s="7">
        <v>0</v>
      </c>
      <c r="X544" s="7">
        <v>0</v>
      </c>
      <c r="Y544" s="7">
        <v>0</v>
      </c>
      <c r="Z544" s="7">
        <v>4</v>
      </c>
      <c r="AA544" s="7">
        <v>0</v>
      </c>
      <c r="AB544" s="7">
        <v>0</v>
      </c>
      <c r="AC544" s="7">
        <v>0</v>
      </c>
      <c r="AD544" s="7">
        <v>0</v>
      </c>
      <c r="AF544" s="8"/>
    </row>
    <row r="545" spans="1:33" ht="12.3">
      <c r="A545" s="6" t="s">
        <v>309</v>
      </c>
      <c r="B545" s="6" t="s">
        <v>132</v>
      </c>
      <c r="C545" s="7">
        <v>10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F545" s="8"/>
    </row>
    <row r="546" spans="1:33" ht="12.3">
      <c r="A546" s="6" t="s">
        <v>309</v>
      </c>
      <c r="B546" s="6" t="s">
        <v>261</v>
      </c>
      <c r="C546" s="7">
        <v>10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F546" s="8"/>
    </row>
    <row r="547" spans="1:33" ht="12.3">
      <c r="A547" s="6" t="s">
        <v>309</v>
      </c>
      <c r="B547" s="6" t="s">
        <v>262</v>
      </c>
      <c r="C547" s="7">
        <v>10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F547" s="8"/>
    </row>
    <row r="548" spans="1:33" ht="12.3">
      <c r="A548" s="6" t="s">
        <v>310</v>
      </c>
      <c r="B548" s="6" t="s">
        <v>279</v>
      </c>
      <c r="C548" s="7">
        <v>10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F548" s="8"/>
    </row>
    <row r="549" spans="1:33" ht="12.3">
      <c r="A549" s="6" t="s">
        <v>310</v>
      </c>
      <c r="B549" s="6" t="s">
        <v>280</v>
      </c>
      <c r="C549" s="7">
        <v>10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F549" s="8"/>
    </row>
    <row r="550" spans="1:33" ht="12.3">
      <c r="A550" s="6" t="s">
        <v>310</v>
      </c>
      <c r="B550" s="6" t="s">
        <v>281</v>
      </c>
      <c r="C550" s="7">
        <v>10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F550" s="8"/>
    </row>
    <row r="551" spans="1:33" ht="12.3">
      <c r="A551" s="6" t="s">
        <v>310</v>
      </c>
      <c r="B551" s="6" t="s">
        <v>282</v>
      </c>
      <c r="C551" s="7">
        <v>10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F551" s="8"/>
    </row>
    <row r="552" spans="1:33" ht="12.3">
      <c r="A552" s="6" t="s">
        <v>310</v>
      </c>
      <c r="B552" s="6" t="s">
        <v>283</v>
      </c>
      <c r="C552" s="7">
        <v>10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F552" s="8"/>
    </row>
    <row r="553" spans="1:33" ht="12.3">
      <c r="A553" s="6" t="s">
        <v>310</v>
      </c>
      <c r="B553" s="6" t="s">
        <v>160</v>
      </c>
      <c r="C553" s="7">
        <v>10</v>
      </c>
      <c r="D553" s="7">
        <v>0</v>
      </c>
      <c r="E553" s="7">
        <v>2</v>
      </c>
      <c r="F553" s="7">
        <v>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2</v>
      </c>
      <c r="W553" s="7">
        <v>0</v>
      </c>
      <c r="X553" s="7">
        <v>0</v>
      </c>
      <c r="Y553" s="7">
        <v>0</v>
      </c>
      <c r="Z553" s="7">
        <v>2</v>
      </c>
      <c r="AA553" s="7">
        <v>0</v>
      </c>
      <c r="AB553" s="7">
        <v>0</v>
      </c>
      <c r="AC553" s="7">
        <v>0</v>
      </c>
      <c r="AD553" s="7">
        <v>0</v>
      </c>
      <c r="AF553" s="8"/>
    </row>
    <row r="554" spans="1:33" ht="12.3">
      <c r="A554" s="6" t="s">
        <v>310</v>
      </c>
      <c r="B554" s="6" t="s">
        <v>264</v>
      </c>
      <c r="C554" s="7">
        <v>10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F554" s="8"/>
    </row>
    <row r="555" spans="1:33" ht="12.3">
      <c r="A555" s="6" t="s">
        <v>310</v>
      </c>
      <c r="B555" s="6" t="s">
        <v>265</v>
      </c>
      <c r="C555" s="7">
        <v>10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/>
      <c r="AF555" s="8"/>
      <c r="AG555" s="8"/>
    </row>
    <row r="556" spans="1:33" ht="12.3">
      <c r="A556" s="6" t="s">
        <v>310</v>
      </c>
      <c r="B556" s="6" t="s">
        <v>266</v>
      </c>
      <c r="C556" s="7">
        <v>10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/>
      <c r="AF556" s="8"/>
      <c r="AG556" s="8"/>
    </row>
    <row r="557" spans="1:33" ht="12.3">
      <c r="A557" s="6" t="s">
        <v>310</v>
      </c>
      <c r="B557" s="6" t="s">
        <v>112</v>
      </c>
      <c r="C557" s="7">
        <v>10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/>
      <c r="AF557" s="8"/>
      <c r="AG557" s="8"/>
    </row>
    <row r="558" spans="1:33" ht="12.3">
      <c r="A558" s="6" t="s">
        <v>310</v>
      </c>
      <c r="B558" s="6" t="s">
        <v>267</v>
      </c>
      <c r="C558" s="7">
        <v>10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/>
      <c r="AF558" s="8"/>
      <c r="AG558" s="8"/>
    </row>
    <row r="559" spans="1:33" ht="12.3">
      <c r="A559" s="6" t="s">
        <v>310</v>
      </c>
      <c r="B559" s="6" t="s">
        <v>268</v>
      </c>
      <c r="C559" s="7">
        <v>10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F559" s="8"/>
    </row>
    <row r="560" spans="1:33" ht="12.3">
      <c r="A560" s="6" t="s">
        <v>310</v>
      </c>
      <c r="B560" s="6" t="s">
        <v>269</v>
      </c>
      <c r="C560" s="7">
        <v>10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F560" s="8"/>
    </row>
    <row r="561" spans="1:32" ht="12.3">
      <c r="A561" s="6" t="s">
        <v>310</v>
      </c>
      <c r="B561" s="6" t="s">
        <v>270</v>
      </c>
      <c r="C561" s="7">
        <v>10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F561" s="8"/>
    </row>
    <row r="562" spans="1:32" ht="12.3">
      <c r="A562" s="6" t="s">
        <v>310</v>
      </c>
      <c r="B562" s="6" t="s">
        <v>271</v>
      </c>
      <c r="C562" s="7">
        <v>10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F562" s="8"/>
    </row>
    <row r="563" spans="1:32" ht="12.3">
      <c r="A563" s="6" t="s">
        <v>310</v>
      </c>
      <c r="B563" s="6" t="s">
        <v>272</v>
      </c>
      <c r="C563" s="7">
        <v>10</v>
      </c>
      <c r="D563" s="7">
        <v>0</v>
      </c>
      <c r="E563" s="7">
        <v>2</v>
      </c>
      <c r="F563" s="7">
        <v>2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2</v>
      </c>
      <c r="W563" s="7">
        <v>0</v>
      </c>
      <c r="X563" s="7">
        <v>0</v>
      </c>
      <c r="Y563" s="7">
        <v>0</v>
      </c>
      <c r="Z563" s="7">
        <v>2</v>
      </c>
      <c r="AA563" s="7">
        <v>0</v>
      </c>
      <c r="AB563" s="7">
        <v>0</v>
      </c>
      <c r="AC563" s="7">
        <v>0</v>
      </c>
      <c r="AD563" s="7">
        <v>0</v>
      </c>
      <c r="AF563" s="8"/>
    </row>
    <row r="564" spans="1:32" ht="12.3">
      <c r="A564" s="6" t="s">
        <v>310</v>
      </c>
      <c r="B564" s="6" t="s">
        <v>273</v>
      </c>
      <c r="C564" s="7">
        <v>10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F564" s="8"/>
    </row>
    <row r="565" spans="1:32" ht="12.3">
      <c r="A565" s="6" t="s">
        <v>310</v>
      </c>
      <c r="B565" s="6" t="s">
        <v>132</v>
      </c>
      <c r="C565" s="7">
        <v>10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F565" s="8"/>
    </row>
    <row r="566" spans="1:32" ht="12.3">
      <c r="A566" s="6" t="s">
        <v>310</v>
      </c>
      <c r="B566" s="6" t="s">
        <v>261</v>
      </c>
      <c r="C566" s="7">
        <v>10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F566" s="8"/>
    </row>
    <row r="567" spans="1:32" ht="12.3">
      <c r="A567" s="6" t="s">
        <v>310</v>
      </c>
      <c r="B567" s="6" t="s">
        <v>262</v>
      </c>
      <c r="C567" s="7">
        <v>10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F567" s="8"/>
    </row>
    <row r="568" spans="1:32" ht="12.3">
      <c r="A568" s="6" t="s">
        <v>311</v>
      </c>
      <c r="B568" s="6" t="s">
        <v>281</v>
      </c>
      <c r="C568" s="7">
        <v>2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F568" s="8"/>
    </row>
    <row r="569" spans="1:32" ht="12.3">
      <c r="A569" s="6" t="s">
        <v>311</v>
      </c>
      <c r="B569" s="6" t="s">
        <v>282</v>
      </c>
      <c r="C569" s="7">
        <v>2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F569" s="8"/>
    </row>
    <row r="570" spans="1:32" ht="12.3">
      <c r="A570" s="6" t="s">
        <v>311</v>
      </c>
      <c r="B570" s="6" t="s">
        <v>283</v>
      </c>
      <c r="C570" s="7">
        <v>2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F570" s="8"/>
    </row>
    <row r="571" spans="1:32" ht="12.3">
      <c r="A571" s="6" t="s">
        <v>311</v>
      </c>
      <c r="B571" s="6" t="s">
        <v>284</v>
      </c>
      <c r="C571" s="7">
        <v>2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F571" s="8"/>
    </row>
    <row r="572" spans="1:32" ht="12.3">
      <c r="A572" s="6" t="s">
        <v>311</v>
      </c>
      <c r="B572" s="6" t="s">
        <v>160</v>
      </c>
      <c r="C572" s="7">
        <v>2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F572" s="8"/>
    </row>
    <row r="573" spans="1:32" ht="12.3">
      <c r="A573" s="6" t="s">
        <v>311</v>
      </c>
      <c r="B573" s="6" t="s">
        <v>264</v>
      </c>
      <c r="C573" s="7">
        <v>2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F573" s="8"/>
    </row>
    <row r="574" spans="1:32" ht="12.3">
      <c r="A574" s="6" t="s">
        <v>311</v>
      </c>
      <c r="B574" s="6" t="s">
        <v>265</v>
      </c>
      <c r="C574" s="7">
        <v>2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F574" s="8"/>
    </row>
    <row r="575" spans="1:32" ht="12.3">
      <c r="A575" s="6" t="s">
        <v>311</v>
      </c>
      <c r="B575" s="6" t="s">
        <v>266</v>
      </c>
      <c r="C575" s="7">
        <v>2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F575" s="8"/>
    </row>
    <row r="576" spans="1:32" ht="12.3">
      <c r="A576" s="6" t="s">
        <v>311</v>
      </c>
      <c r="B576" s="6" t="s">
        <v>112</v>
      </c>
      <c r="C576" s="7">
        <v>2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F576" s="8"/>
    </row>
    <row r="577" spans="1:32" ht="12.3">
      <c r="A577" s="6" t="s">
        <v>311</v>
      </c>
      <c r="B577" s="6" t="s">
        <v>267</v>
      </c>
      <c r="C577" s="7">
        <v>2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F577" s="8"/>
    </row>
    <row r="578" spans="1:32" ht="12.3">
      <c r="A578" s="6" t="s">
        <v>311</v>
      </c>
      <c r="B578" s="6" t="s">
        <v>268</v>
      </c>
      <c r="C578" s="7">
        <v>2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F578" s="8"/>
    </row>
    <row r="579" spans="1:32" ht="12.3">
      <c r="A579" s="6" t="s">
        <v>311</v>
      </c>
      <c r="B579" s="6" t="s">
        <v>269</v>
      </c>
      <c r="C579" s="7">
        <v>2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F579" s="8"/>
    </row>
    <row r="580" spans="1:32" ht="12.3">
      <c r="A580" s="6" t="s">
        <v>311</v>
      </c>
      <c r="B580" s="6" t="s">
        <v>270</v>
      </c>
      <c r="C580" s="7">
        <v>2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F580" s="8"/>
    </row>
    <row r="581" spans="1:32" ht="12.3">
      <c r="A581" s="6" t="s">
        <v>311</v>
      </c>
      <c r="B581" s="6" t="s">
        <v>271</v>
      </c>
      <c r="C581" s="7">
        <v>2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F581" s="8"/>
    </row>
    <row r="582" spans="1:32" ht="12.3">
      <c r="A582" s="6" t="s">
        <v>311</v>
      </c>
      <c r="B582" s="6" t="s">
        <v>272</v>
      </c>
      <c r="C582" s="7">
        <v>2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F582" s="8"/>
    </row>
    <row r="583" spans="1:32" ht="12.3">
      <c r="A583" s="6" t="s">
        <v>311</v>
      </c>
      <c r="B583" s="6" t="s">
        <v>273</v>
      </c>
      <c r="C583" s="7">
        <v>2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F583" s="8"/>
    </row>
    <row r="584" spans="1:32" ht="12.3">
      <c r="A584" s="6" t="s">
        <v>311</v>
      </c>
      <c r="B584" s="6" t="s">
        <v>132</v>
      </c>
      <c r="C584" s="7">
        <v>2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F584" s="8"/>
    </row>
    <row r="585" spans="1:32" ht="12.3">
      <c r="A585" s="6" t="s">
        <v>311</v>
      </c>
      <c r="B585" s="6" t="s">
        <v>261</v>
      </c>
      <c r="C585" s="7">
        <v>2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F585" s="8"/>
    </row>
    <row r="586" spans="1:32" ht="12.3">
      <c r="A586" s="6" t="s">
        <v>311</v>
      </c>
      <c r="B586" s="6" t="s">
        <v>262</v>
      </c>
      <c r="C586" s="7">
        <v>2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F586" s="8"/>
    </row>
    <row r="587" spans="1:32" ht="12.3">
      <c r="A587" s="6" t="s">
        <v>312</v>
      </c>
      <c r="B587" s="6" t="s">
        <v>268</v>
      </c>
      <c r="C587" s="7">
        <v>10</v>
      </c>
      <c r="D587" s="7">
        <v>0</v>
      </c>
      <c r="E587" s="7">
        <v>2</v>
      </c>
      <c r="F587" s="7">
        <v>2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2</v>
      </c>
      <c r="W587" s="7">
        <v>0</v>
      </c>
      <c r="X587" s="7">
        <v>0</v>
      </c>
      <c r="Y587" s="7">
        <v>0</v>
      </c>
      <c r="Z587" s="7">
        <v>2</v>
      </c>
      <c r="AA587" s="7">
        <v>0</v>
      </c>
      <c r="AB587" s="7">
        <v>0</v>
      </c>
      <c r="AC587" s="7">
        <v>0</v>
      </c>
      <c r="AD587" s="7">
        <v>0</v>
      </c>
      <c r="AF587" s="8"/>
    </row>
    <row r="588" spans="1:32" ht="12.3">
      <c r="A588" s="6" t="s">
        <v>312</v>
      </c>
      <c r="B588" s="6" t="s">
        <v>269</v>
      </c>
      <c r="C588" s="7">
        <v>10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F588" s="8"/>
    </row>
    <row r="589" spans="1:32" ht="12.3">
      <c r="A589" s="6" t="s">
        <v>312</v>
      </c>
      <c r="B589" s="6" t="s">
        <v>270</v>
      </c>
      <c r="C589" s="7">
        <v>10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F589" s="8"/>
    </row>
    <row r="590" spans="1:32" ht="12.3">
      <c r="A590" s="6" t="s">
        <v>312</v>
      </c>
      <c r="B590" s="6" t="s">
        <v>271</v>
      </c>
      <c r="C590" s="7">
        <v>10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F590" s="8"/>
    </row>
    <row r="591" spans="1:32" ht="12.3">
      <c r="A591" s="6" t="s">
        <v>312</v>
      </c>
      <c r="B591" s="6" t="s">
        <v>272</v>
      </c>
      <c r="C591" s="7">
        <v>10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F591" s="8"/>
    </row>
    <row r="592" spans="1:32" ht="12.3">
      <c r="A592" s="6" t="s">
        <v>312</v>
      </c>
      <c r="B592" s="6" t="s">
        <v>273</v>
      </c>
      <c r="C592" s="7">
        <v>10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F592" s="8"/>
    </row>
    <row r="593" spans="1:32" ht="12.3">
      <c r="A593" s="6" t="s">
        <v>312</v>
      </c>
      <c r="B593" s="6" t="s">
        <v>132</v>
      </c>
      <c r="C593" s="7">
        <v>10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F593" s="8"/>
    </row>
    <row r="594" spans="1:32" ht="12.3">
      <c r="A594" s="6" t="s">
        <v>312</v>
      </c>
      <c r="B594" s="6" t="s">
        <v>261</v>
      </c>
      <c r="C594" s="7">
        <v>10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F594" s="8"/>
    </row>
    <row r="595" spans="1:32" ht="12.3">
      <c r="A595" s="6" t="s">
        <v>312</v>
      </c>
      <c r="B595" s="6" t="s">
        <v>262</v>
      </c>
      <c r="C595" s="7">
        <v>10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F595" s="8"/>
    </row>
    <row r="596" spans="1:32" ht="12.3">
      <c r="A596" s="6" t="s">
        <v>313</v>
      </c>
      <c r="B596" s="6" t="s">
        <v>132</v>
      </c>
      <c r="C596" s="7">
        <v>2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F596" s="8"/>
    </row>
    <row r="597" spans="1:32" ht="12.3">
      <c r="A597" s="6" t="s">
        <v>313</v>
      </c>
      <c r="B597" s="6" t="s">
        <v>261</v>
      </c>
      <c r="C597" s="7">
        <v>2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F597" s="8"/>
    </row>
    <row r="598" spans="1:32" ht="12.3">
      <c r="A598" s="6" t="s">
        <v>313</v>
      </c>
      <c r="B598" s="6" t="s">
        <v>262</v>
      </c>
      <c r="C598" s="7">
        <v>2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F598" s="8"/>
    </row>
    <row r="599" spans="1:32" ht="12.3">
      <c r="A599" s="6" t="s">
        <v>314</v>
      </c>
      <c r="B599" s="6" t="s">
        <v>279</v>
      </c>
      <c r="C599" s="7">
        <v>2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F599" s="8"/>
    </row>
    <row r="600" spans="1:32" ht="12.3">
      <c r="A600" s="6" t="s">
        <v>314</v>
      </c>
      <c r="B600" s="6" t="s">
        <v>280</v>
      </c>
      <c r="C600" s="7">
        <v>2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F600" s="8"/>
    </row>
    <row r="601" spans="1:32" ht="12.3">
      <c r="A601" s="6" t="s">
        <v>314</v>
      </c>
      <c r="B601" s="6" t="s">
        <v>281</v>
      </c>
      <c r="C601" s="7">
        <v>2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F601" s="8"/>
    </row>
    <row r="602" spans="1:32" ht="12.3">
      <c r="A602" s="6" t="s">
        <v>314</v>
      </c>
      <c r="B602" s="6" t="s">
        <v>282</v>
      </c>
      <c r="C602" s="7">
        <v>2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F602" s="8"/>
    </row>
    <row r="603" spans="1:32" ht="12.3">
      <c r="A603" s="6" t="s">
        <v>314</v>
      </c>
      <c r="B603" s="6" t="s">
        <v>283</v>
      </c>
      <c r="C603" s="7">
        <v>2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F603" s="8"/>
    </row>
    <row r="604" spans="1:32" ht="12.3">
      <c r="A604" s="6" t="s">
        <v>314</v>
      </c>
      <c r="B604" s="6" t="s">
        <v>284</v>
      </c>
      <c r="C604" s="7">
        <v>2</v>
      </c>
      <c r="D604" s="7">
        <v>0</v>
      </c>
      <c r="E604" s="7">
        <v>1</v>
      </c>
      <c r="F604" s="7">
        <v>1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1</v>
      </c>
      <c r="W604" s="7">
        <v>0</v>
      </c>
      <c r="X604" s="7">
        <v>0</v>
      </c>
      <c r="Y604" s="7">
        <v>0</v>
      </c>
      <c r="Z604" s="7">
        <v>1</v>
      </c>
      <c r="AA604" s="7">
        <v>0</v>
      </c>
      <c r="AB604" s="7">
        <v>0</v>
      </c>
      <c r="AC604" s="7">
        <v>0</v>
      </c>
      <c r="AD604" s="7">
        <v>0</v>
      </c>
      <c r="AF604" s="8"/>
    </row>
    <row r="605" spans="1:32" ht="12.3">
      <c r="A605" s="6" t="s">
        <v>314</v>
      </c>
      <c r="B605" s="6" t="s">
        <v>160</v>
      </c>
      <c r="C605" s="7">
        <v>2</v>
      </c>
      <c r="D605" s="7">
        <v>0</v>
      </c>
      <c r="E605" s="7">
        <v>1</v>
      </c>
      <c r="F605" s="7">
        <v>1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1</v>
      </c>
      <c r="W605" s="7">
        <v>0</v>
      </c>
      <c r="X605" s="7">
        <v>0</v>
      </c>
      <c r="Y605" s="7">
        <v>0</v>
      </c>
      <c r="Z605" s="7">
        <v>1</v>
      </c>
      <c r="AA605" s="7">
        <v>0</v>
      </c>
      <c r="AB605" s="7">
        <v>0</v>
      </c>
      <c r="AC605" s="7">
        <v>0</v>
      </c>
      <c r="AD605" s="7">
        <v>0</v>
      </c>
      <c r="AF605" s="8"/>
    </row>
    <row r="606" spans="1:32" ht="12.3">
      <c r="A606" s="6" t="s">
        <v>314</v>
      </c>
      <c r="B606" s="6" t="s">
        <v>264</v>
      </c>
      <c r="C606" s="7">
        <v>2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F606" s="8"/>
    </row>
    <row r="607" spans="1:32" ht="12.3">
      <c r="A607" s="6" t="s">
        <v>314</v>
      </c>
      <c r="B607" s="6" t="s">
        <v>265</v>
      </c>
      <c r="C607" s="7">
        <v>2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F607" s="8"/>
    </row>
    <row r="608" spans="1:32" ht="12.3">
      <c r="A608" s="6" t="s">
        <v>314</v>
      </c>
      <c r="B608" s="6" t="s">
        <v>266</v>
      </c>
      <c r="C608" s="7">
        <v>2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F608" s="8"/>
    </row>
    <row r="609" spans="1:33" ht="12.3">
      <c r="A609" s="6" t="s">
        <v>314</v>
      </c>
      <c r="B609" s="6" t="s">
        <v>112</v>
      </c>
      <c r="C609" s="7">
        <v>2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F609" s="8"/>
    </row>
    <row r="610" spans="1:33" ht="12.3">
      <c r="A610" s="6" t="s">
        <v>314</v>
      </c>
      <c r="B610" s="6" t="s">
        <v>267</v>
      </c>
      <c r="C610" s="7">
        <v>2</v>
      </c>
      <c r="D610" s="7">
        <v>0</v>
      </c>
      <c r="E610" s="7">
        <v>1</v>
      </c>
      <c r="F610" s="7">
        <v>1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1</v>
      </c>
      <c r="W610" s="7">
        <v>0</v>
      </c>
      <c r="X610" s="7">
        <v>0</v>
      </c>
      <c r="Y610" s="7">
        <v>0</v>
      </c>
      <c r="Z610" s="7">
        <v>1</v>
      </c>
      <c r="AA610" s="7">
        <v>0</v>
      </c>
      <c r="AB610" s="7">
        <v>0</v>
      </c>
      <c r="AC610" s="7">
        <v>0</v>
      </c>
      <c r="AD610" s="7">
        <v>0</v>
      </c>
      <c r="AF610" s="8"/>
    </row>
    <row r="611" spans="1:33" ht="12.3">
      <c r="A611" s="6" t="s">
        <v>314</v>
      </c>
      <c r="B611" s="6" t="s">
        <v>268</v>
      </c>
      <c r="C611" s="7">
        <v>2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F611" s="8"/>
    </row>
    <row r="612" spans="1:33" ht="12.3">
      <c r="A612" s="6" t="s">
        <v>314</v>
      </c>
      <c r="B612" s="6" t="s">
        <v>269</v>
      </c>
      <c r="C612" s="7">
        <v>2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F612" s="8"/>
    </row>
    <row r="613" spans="1:33" ht="12.3">
      <c r="A613" s="6" t="s">
        <v>314</v>
      </c>
      <c r="B613" s="6" t="s">
        <v>270</v>
      </c>
      <c r="C613" s="7">
        <v>2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F613" s="8"/>
    </row>
    <row r="614" spans="1:33" ht="12.3">
      <c r="A614" s="6" t="s">
        <v>314</v>
      </c>
      <c r="B614" s="6" t="s">
        <v>271</v>
      </c>
      <c r="C614" s="7">
        <v>2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F614" s="8"/>
    </row>
    <row r="615" spans="1:33" ht="12.3">
      <c r="A615" s="6" t="s">
        <v>314</v>
      </c>
      <c r="B615" s="6" t="s">
        <v>272</v>
      </c>
      <c r="C615" s="7">
        <v>2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F615" s="8"/>
    </row>
    <row r="616" spans="1:33" ht="12.3">
      <c r="A616" s="6" t="s">
        <v>314</v>
      </c>
      <c r="B616" s="6" t="s">
        <v>273</v>
      </c>
      <c r="C616" s="7">
        <v>2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F616" s="8"/>
    </row>
    <row r="617" spans="1:33" ht="12.3">
      <c r="A617" s="6" t="s">
        <v>314</v>
      </c>
      <c r="B617" s="6" t="s">
        <v>132</v>
      </c>
      <c r="C617" s="7">
        <v>2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/>
      <c r="AF617" s="8"/>
      <c r="AG617" s="8"/>
    </row>
    <row r="618" spans="1:33" ht="12.3">
      <c r="A618" s="6" t="s">
        <v>314</v>
      </c>
      <c r="B618" s="6" t="s">
        <v>261</v>
      </c>
      <c r="C618" s="7">
        <v>2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/>
      <c r="AF618" s="8"/>
      <c r="AG618" s="8"/>
    </row>
    <row r="619" spans="1:33" ht="12.3">
      <c r="A619" s="6" t="s">
        <v>314</v>
      </c>
      <c r="B619" s="6" t="s">
        <v>262</v>
      </c>
      <c r="C619" s="7">
        <v>2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/>
      <c r="AF619" s="8"/>
      <c r="AG619" s="8"/>
    </row>
    <row r="620" spans="1:33" ht="12.3">
      <c r="A620" s="6" t="s">
        <v>315</v>
      </c>
      <c r="B620" s="6" t="s">
        <v>280</v>
      </c>
      <c r="C620" s="7">
        <v>16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/>
      <c r="AF620" s="8"/>
      <c r="AG620" s="8"/>
    </row>
    <row r="621" spans="1:33" ht="12.3">
      <c r="A621" s="6" t="s">
        <v>315</v>
      </c>
      <c r="B621" s="6" t="s">
        <v>282</v>
      </c>
      <c r="C621" s="7">
        <v>18</v>
      </c>
      <c r="D621" s="7">
        <v>0</v>
      </c>
      <c r="E621" s="7">
        <v>3</v>
      </c>
      <c r="F621" s="7">
        <v>3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3</v>
      </c>
      <c r="W621" s="7">
        <v>0</v>
      </c>
      <c r="X621" s="7">
        <v>0</v>
      </c>
      <c r="Y621" s="7">
        <v>0</v>
      </c>
      <c r="Z621" s="7">
        <v>3</v>
      </c>
      <c r="AA621" s="7">
        <v>0</v>
      </c>
      <c r="AB621" s="7">
        <v>0</v>
      </c>
      <c r="AC621" s="7">
        <v>0</v>
      </c>
      <c r="AD621" s="7">
        <v>0</v>
      </c>
      <c r="AE621" s="7"/>
      <c r="AF621" s="8"/>
      <c r="AG621" s="8"/>
    </row>
    <row r="622" spans="1:33" ht="12.3">
      <c r="A622" s="6" t="s">
        <v>315</v>
      </c>
      <c r="B622" s="6" t="s">
        <v>283</v>
      </c>
      <c r="C622" s="7">
        <v>18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/>
      <c r="AF622" s="8"/>
      <c r="AG622" s="8"/>
    </row>
    <row r="623" spans="1:33" ht="12.3">
      <c r="A623" s="6" t="s">
        <v>315</v>
      </c>
      <c r="B623" s="6" t="s">
        <v>160</v>
      </c>
      <c r="C623" s="7">
        <v>18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/>
      <c r="AF623" s="8"/>
      <c r="AG623" s="8"/>
    </row>
    <row r="624" spans="1:33" ht="12.3">
      <c r="A624" s="6" t="s">
        <v>315</v>
      </c>
      <c r="B624" s="6" t="s">
        <v>264</v>
      </c>
      <c r="C624" s="7">
        <v>18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/>
      <c r="AF624" s="8"/>
      <c r="AG624" s="8"/>
    </row>
    <row r="625" spans="1:33" ht="12.3">
      <c r="A625" s="6" t="s">
        <v>315</v>
      </c>
      <c r="B625" s="6" t="s">
        <v>265</v>
      </c>
      <c r="C625" s="7">
        <v>18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/>
      <c r="AF625" s="8"/>
      <c r="AG625" s="8"/>
    </row>
    <row r="626" spans="1:33" ht="12.3">
      <c r="A626" s="6" t="s">
        <v>315</v>
      </c>
      <c r="B626" s="6" t="s">
        <v>266</v>
      </c>
      <c r="C626" s="7">
        <v>18</v>
      </c>
      <c r="D626" s="7">
        <v>0</v>
      </c>
      <c r="E626" s="7">
        <v>3</v>
      </c>
      <c r="F626" s="7">
        <v>3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3</v>
      </c>
      <c r="W626" s="7">
        <v>0</v>
      </c>
      <c r="X626" s="7">
        <v>0</v>
      </c>
      <c r="Y626" s="7">
        <v>0</v>
      </c>
      <c r="Z626" s="7">
        <v>3</v>
      </c>
      <c r="AA626" s="7">
        <v>0</v>
      </c>
      <c r="AB626" s="7">
        <v>0</v>
      </c>
      <c r="AC626" s="7">
        <v>0</v>
      </c>
      <c r="AD626" s="7">
        <v>0</v>
      </c>
      <c r="AE626" s="7"/>
      <c r="AF626" s="8"/>
      <c r="AG626" s="8"/>
    </row>
    <row r="627" spans="1:33" ht="12.3">
      <c r="A627" s="6" t="s">
        <v>315</v>
      </c>
      <c r="B627" s="6" t="s">
        <v>112</v>
      </c>
      <c r="C627" s="7">
        <v>18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/>
      <c r="AF627" s="8"/>
      <c r="AG627" s="8"/>
    </row>
    <row r="628" spans="1:33" ht="12.3">
      <c r="A628" s="6" t="s">
        <v>315</v>
      </c>
      <c r="B628" s="6" t="s">
        <v>267</v>
      </c>
      <c r="C628" s="7">
        <v>18</v>
      </c>
      <c r="D628" s="7">
        <v>0</v>
      </c>
      <c r="E628" s="7">
        <v>3</v>
      </c>
      <c r="F628" s="7">
        <v>3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3</v>
      </c>
      <c r="W628" s="7">
        <v>0</v>
      </c>
      <c r="X628" s="7">
        <v>0</v>
      </c>
      <c r="Y628" s="7">
        <v>0</v>
      </c>
      <c r="Z628" s="7">
        <v>3</v>
      </c>
      <c r="AA628" s="7">
        <v>0</v>
      </c>
      <c r="AB628" s="7">
        <v>0</v>
      </c>
      <c r="AC628" s="7">
        <v>0</v>
      </c>
      <c r="AD628" s="7">
        <v>0</v>
      </c>
      <c r="AE628" s="7"/>
      <c r="AF628" s="8"/>
      <c r="AG628" s="8"/>
    </row>
    <row r="629" spans="1:33" ht="12.3">
      <c r="A629" s="6" t="s">
        <v>315</v>
      </c>
      <c r="B629" s="6" t="s">
        <v>268</v>
      </c>
      <c r="C629" s="7">
        <v>18</v>
      </c>
      <c r="D629" s="7">
        <v>0</v>
      </c>
      <c r="E629" s="7">
        <v>3</v>
      </c>
      <c r="F629" s="7">
        <v>3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3</v>
      </c>
      <c r="W629" s="7">
        <v>0</v>
      </c>
      <c r="X629" s="7">
        <v>0</v>
      </c>
      <c r="Y629" s="7">
        <v>0</v>
      </c>
      <c r="Z629" s="7">
        <v>3</v>
      </c>
      <c r="AA629" s="7">
        <v>0</v>
      </c>
      <c r="AB629" s="7">
        <v>0</v>
      </c>
      <c r="AC629" s="7">
        <v>0</v>
      </c>
      <c r="AD629" s="7">
        <v>0</v>
      </c>
      <c r="AE629" s="7"/>
      <c r="AF629" s="8"/>
      <c r="AG629" s="8"/>
    </row>
    <row r="630" spans="1:33" ht="12.3">
      <c r="A630" s="6" t="s">
        <v>315</v>
      </c>
      <c r="B630" s="6" t="s">
        <v>269</v>
      </c>
      <c r="C630" s="7">
        <v>18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/>
      <c r="AF630" s="8"/>
      <c r="AG630" s="8"/>
    </row>
    <row r="631" spans="1:33" ht="12.3">
      <c r="A631" s="6" t="s">
        <v>315</v>
      </c>
      <c r="B631" s="6" t="s">
        <v>270</v>
      </c>
      <c r="C631" s="7">
        <v>18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/>
      <c r="AF631" s="8"/>
      <c r="AG631" s="8"/>
    </row>
    <row r="632" spans="1:33" ht="12.3">
      <c r="A632" s="6" t="s">
        <v>315</v>
      </c>
      <c r="B632" s="6" t="s">
        <v>271</v>
      </c>
      <c r="C632" s="7">
        <v>19</v>
      </c>
      <c r="D632" s="7">
        <v>1</v>
      </c>
      <c r="E632" s="7">
        <v>4</v>
      </c>
      <c r="F632" s="7">
        <v>11</v>
      </c>
      <c r="G632" s="7">
        <v>6</v>
      </c>
      <c r="H632" s="7">
        <v>0</v>
      </c>
      <c r="I632" s="7">
        <v>0</v>
      </c>
      <c r="J632" s="7">
        <v>0</v>
      </c>
      <c r="K632" s="7">
        <v>6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5</v>
      </c>
      <c r="W632" s="7">
        <v>0</v>
      </c>
      <c r="X632" s="7">
        <v>0</v>
      </c>
      <c r="Y632" s="7">
        <v>0</v>
      </c>
      <c r="Z632" s="7">
        <v>3</v>
      </c>
      <c r="AA632" s="7">
        <v>2</v>
      </c>
      <c r="AB632" s="7">
        <v>0</v>
      </c>
      <c r="AC632" s="7">
        <v>0</v>
      </c>
      <c r="AD632" s="7">
        <v>0</v>
      </c>
      <c r="AE632" s="7"/>
      <c r="AF632" s="8"/>
      <c r="AG632" s="8"/>
    </row>
    <row r="633" spans="1:33" ht="12.3">
      <c r="A633" s="6" t="s">
        <v>315</v>
      </c>
      <c r="B633" s="6" t="s">
        <v>272</v>
      </c>
      <c r="C633" s="7">
        <v>22</v>
      </c>
      <c r="D633" s="7">
        <v>2</v>
      </c>
      <c r="E633" s="7">
        <v>6</v>
      </c>
      <c r="F633" s="7">
        <v>16</v>
      </c>
      <c r="G633" s="7">
        <v>10</v>
      </c>
      <c r="H633" s="7">
        <v>0</v>
      </c>
      <c r="I633" s="7">
        <v>0</v>
      </c>
      <c r="J633" s="7">
        <v>0</v>
      </c>
      <c r="K633" s="7">
        <v>10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6</v>
      </c>
      <c r="W633" s="7">
        <v>0</v>
      </c>
      <c r="X633" s="7">
        <v>0</v>
      </c>
      <c r="Y633" s="7">
        <v>0</v>
      </c>
      <c r="Z633" s="7">
        <v>4</v>
      </c>
      <c r="AA633" s="7">
        <v>2</v>
      </c>
      <c r="AB633" s="7">
        <v>0</v>
      </c>
      <c r="AC633" s="7">
        <v>0</v>
      </c>
      <c r="AD633" s="7">
        <v>0</v>
      </c>
      <c r="AE633" s="7"/>
      <c r="AF633" s="8"/>
      <c r="AG633" s="8"/>
    </row>
    <row r="634" spans="1:33" ht="12.3">
      <c r="A634" s="6" t="s">
        <v>315</v>
      </c>
      <c r="B634" s="6" t="s">
        <v>273</v>
      </c>
      <c r="C634" s="7">
        <v>24</v>
      </c>
      <c r="D634" s="7">
        <v>0</v>
      </c>
      <c r="E634" s="7">
        <v>4</v>
      </c>
      <c r="F634" s="7">
        <v>5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5</v>
      </c>
      <c r="W634" s="7">
        <v>0</v>
      </c>
      <c r="X634" s="7">
        <v>0</v>
      </c>
      <c r="Y634" s="7">
        <v>0</v>
      </c>
      <c r="Z634" s="7">
        <v>5</v>
      </c>
      <c r="AA634" s="7">
        <v>0</v>
      </c>
      <c r="AB634" s="7">
        <v>0</v>
      </c>
      <c r="AC634" s="7">
        <v>0</v>
      </c>
      <c r="AD634" s="7">
        <v>0</v>
      </c>
      <c r="AE634" s="7"/>
      <c r="AF634" s="8"/>
      <c r="AG634" s="8"/>
    </row>
    <row r="635" spans="1:33" ht="12.3">
      <c r="A635" s="6" t="s">
        <v>315</v>
      </c>
      <c r="B635" s="6" t="s">
        <v>132</v>
      </c>
      <c r="C635" s="7">
        <v>25</v>
      </c>
      <c r="D635" s="7">
        <v>1</v>
      </c>
      <c r="E635" s="7">
        <v>5</v>
      </c>
      <c r="F635" s="7">
        <v>12</v>
      </c>
      <c r="G635" s="7">
        <v>6</v>
      </c>
      <c r="H635" s="7">
        <v>0</v>
      </c>
      <c r="I635" s="7">
        <v>0</v>
      </c>
      <c r="J635" s="7">
        <v>0</v>
      </c>
      <c r="K635" s="7">
        <v>6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6</v>
      </c>
      <c r="W635" s="7">
        <v>0</v>
      </c>
      <c r="X635" s="7">
        <v>0</v>
      </c>
      <c r="Y635" s="7">
        <v>0</v>
      </c>
      <c r="Z635" s="7">
        <v>4</v>
      </c>
      <c r="AA635" s="7">
        <v>2</v>
      </c>
      <c r="AB635" s="7">
        <v>0</v>
      </c>
      <c r="AC635" s="7">
        <v>0</v>
      </c>
      <c r="AD635" s="7">
        <v>0</v>
      </c>
      <c r="AE635" s="7"/>
      <c r="AF635" s="8"/>
      <c r="AG635" s="8"/>
    </row>
    <row r="636" spans="1:33" ht="12.3">
      <c r="A636" s="6" t="s">
        <v>315</v>
      </c>
      <c r="B636" s="6" t="s">
        <v>261</v>
      </c>
      <c r="C636" s="7">
        <v>26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/>
      <c r="AF636" s="8"/>
      <c r="AG636" s="8"/>
    </row>
    <row r="637" spans="1:33" ht="12.3">
      <c r="A637" s="6" t="s">
        <v>315</v>
      </c>
      <c r="B637" s="6" t="s">
        <v>262</v>
      </c>
      <c r="C637" s="7">
        <v>26</v>
      </c>
      <c r="D637" s="7">
        <v>0</v>
      </c>
      <c r="E637" s="7">
        <v>5</v>
      </c>
      <c r="F637" s="7">
        <v>5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5</v>
      </c>
      <c r="W637" s="7">
        <v>0</v>
      </c>
      <c r="X637" s="7">
        <v>0</v>
      </c>
      <c r="Y637" s="7">
        <v>0</v>
      </c>
      <c r="Z637" s="7">
        <v>5</v>
      </c>
      <c r="AA637" s="7">
        <v>0</v>
      </c>
      <c r="AB637" s="7">
        <v>0</v>
      </c>
      <c r="AC637" s="7">
        <v>0</v>
      </c>
      <c r="AD637" s="7">
        <v>0</v>
      </c>
      <c r="AE637" s="7"/>
      <c r="AF637" s="8"/>
      <c r="AG637" s="8"/>
    </row>
    <row r="638" spans="1:33" ht="12.3">
      <c r="A638" s="6" t="s">
        <v>316</v>
      </c>
      <c r="B638" s="6" t="s">
        <v>280</v>
      </c>
      <c r="C638" s="7">
        <v>26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/>
      <c r="AF638" s="8"/>
      <c r="AG638" s="8"/>
    </row>
    <row r="639" spans="1:33" ht="12.3">
      <c r="A639" s="6" t="s">
        <v>316</v>
      </c>
      <c r="B639" s="6" t="s">
        <v>281</v>
      </c>
      <c r="C639" s="7">
        <v>26</v>
      </c>
      <c r="D639" s="7">
        <v>0</v>
      </c>
      <c r="E639" s="7">
        <v>5</v>
      </c>
      <c r="F639" s="7">
        <v>9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9</v>
      </c>
      <c r="W639" s="7">
        <v>0</v>
      </c>
      <c r="X639" s="7">
        <v>0</v>
      </c>
      <c r="Y639" s="7">
        <v>0</v>
      </c>
      <c r="Z639" s="7">
        <v>9</v>
      </c>
      <c r="AA639" s="7">
        <v>0</v>
      </c>
      <c r="AB639" s="7">
        <v>0</v>
      </c>
      <c r="AC639" s="7">
        <v>0</v>
      </c>
      <c r="AD639" s="7">
        <v>0</v>
      </c>
      <c r="AF639" s="8"/>
    </row>
    <row r="640" spans="1:33" ht="12.3">
      <c r="A640" s="6" t="s">
        <v>316</v>
      </c>
      <c r="B640" s="6" t="s">
        <v>160</v>
      </c>
      <c r="C640" s="7">
        <v>36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F640" s="8"/>
    </row>
    <row r="641" spans="1:32" ht="12.3">
      <c r="A641" s="6" t="s">
        <v>316</v>
      </c>
      <c r="B641" s="6" t="s">
        <v>264</v>
      </c>
      <c r="C641" s="7">
        <v>36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F641" s="8"/>
    </row>
    <row r="642" spans="1:32" ht="12.3">
      <c r="A642" s="6" t="s">
        <v>316</v>
      </c>
      <c r="B642" s="6" t="s">
        <v>265</v>
      </c>
      <c r="C642" s="7">
        <v>36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F642" s="8"/>
    </row>
    <row r="643" spans="1:32" ht="12.3">
      <c r="A643" s="6" t="s">
        <v>316</v>
      </c>
      <c r="B643" s="6" t="s">
        <v>112</v>
      </c>
      <c r="C643" s="7">
        <v>41</v>
      </c>
      <c r="D643" s="7">
        <v>1</v>
      </c>
      <c r="E643" s="7">
        <v>1</v>
      </c>
      <c r="F643" s="7">
        <v>6</v>
      </c>
      <c r="G643" s="7">
        <v>4</v>
      </c>
      <c r="H643" s="7">
        <v>0</v>
      </c>
      <c r="I643" s="7">
        <v>0</v>
      </c>
      <c r="J643" s="7">
        <v>0</v>
      </c>
      <c r="K643" s="7">
        <v>4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2</v>
      </c>
      <c r="W643" s="7">
        <v>0</v>
      </c>
      <c r="X643" s="7">
        <v>0</v>
      </c>
      <c r="Y643" s="7">
        <v>0</v>
      </c>
      <c r="Z643" s="7">
        <v>0</v>
      </c>
      <c r="AA643" s="7">
        <v>2</v>
      </c>
      <c r="AB643" s="7">
        <v>0</v>
      </c>
      <c r="AC643" s="7">
        <v>0</v>
      </c>
      <c r="AD643" s="7">
        <v>0</v>
      </c>
      <c r="AF643" s="8"/>
    </row>
    <row r="644" spans="1:32" ht="12.3">
      <c r="A644" s="6" t="s">
        <v>316</v>
      </c>
      <c r="B644" s="6" t="s">
        <v>267</v>
      </c>
      <c r="C644" s="7">
        <v>41</v>
      </c>
      <c r="D644" s="7">
        <v>1</v>
      </c>
      <c r="E644" s="7">
        <v>9</v>
      </c>
      <c r="F644" s="7">
        <v>18</v>
      </c>
      <c r="G644" s="7">
        <v>7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1</v>
      </c>
      <c r="N644" s="7">
        <v>4</v>
      </c>
      <c r="O644" s="7">
        <v>0</v>
      </c>
      <c r="P644" s="7">
        <v>0</v>
      </c>
      <c r="Q644" s="7">
        <v>0</v>
      </c>
      <c r="R644" s="7">
        <v>2</v>
      </c>
      <c r="S644" s="7">
        <v>0</v>
      </c>
      <c r="T644" s="7">
        <v>0</v>
      </c>
      <c r="U644" s="7">
        <v>0</v>
      </c>
      <c r="V644" s="7">
        <v>11</v>
      </c>
      <c r="W644" s="7">
        <v>0</v>
      </c>
      <c r="X644" s="7">
        <v>0</v>
      </c>
      <c r="Y644" s="7">
        <v>0</v>
      </c>
      <c r="Z644" s="7">
        <v>11</v>
      </c>
      <c r="AA644" s="7">
        <v>0</v>
      </c>
      <c r="AB644" s="7">
        <v>0</v>
      </c>
      <c r="AC644" s="7">
        <v>0</v>
      </c>
      <c r="AD644" s="7">
        <v>0</v>
      </c>
      <c r="AF644" s="8"/>
    </row>
    <row r="645" spans="1:32" ht="12.3">
      <c r="A645" s="6" t="s">
        <v>316</v>
      </c>
      <c r="B645" s="6" t="s">
        <v>268</v>
      </c>
      <c r="C645" s="7">
        <v>41</v>
      </c>
      <c r="D645" s="7">
        <v>1</v>
      </c>
      <c r="E645" s="7">
        <v>10</v>
      </c>
      <c r="F645" s="7">
        <v>17</v>
      </c>
      <c r="G645" s="7">
        <v>4</v>
      </c>
      <c r="H645" s="7">
        <v>0</v>
      </c>
      <c r="I645" s="7">
        <v>0</v>
      </c>
      <c r="J645" s="7">
        <v>0</v>
      </c>
      <c r="K645" s="7">
        <v>4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13</v>
      </c>
      <c r="W645" s="7">
        <v>0</v>
      </c>
      <c r="X645" s="7">
        <v>0</v>
      </c>
      <c r="Y645" s="7">
        <v>0</v>
      </c>
      <c r="Z645" s="7">
        <v>11</v>
      </c>
      <c r="AA645" s="7">
        <v>2</v>
      </c>
      <c r="AB645" s="7">
        <v>0</v>
      </c>
      <c r="AC645" s="7">
        <v>0</v>
      </c>
      <c r="AD645" s="7">
        <v>0</v>
      </c>
      <c r="AF645" s="8"/>
    </row>
    <row r="646" spans="1:32" ht="12.3">
      <c r="A646" s="6" t="s">
        <v>316</v>
      </c>
      <c r="B646" s="6" t="s">
        <v>269</v>
      </c>
      <c r="C646" s="7">
        <v>42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F646" s="8"/>
    </row>
    <row r="647" spans="1:32" ht="12.3">
      <c r="A647" s="6" t="s">
        <v>316</v>
      </c>
      <c r="B647" s="6" t="s">
        <v>270</v>
      </c>
      <c r="C647" s="7">
        <v>42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F647" s="8"/>
    </row>
    <row r="648" spans="1:32" ht="12.3">
      <c r="A648" s="6" t="s">
        <v>316</v>
      </c>
      <c r="B648" s="6" t="s">
        <v>271</v>
      </c>
      <c r="C648" s="7">
        <v>42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F648" s="8"/>
    </row>
    <row r="649" spans="1:32" ht="12.3">
      <c r="A649" s="6" t="s">
        <v>316</v>
      </c>
      <c r="B649" s="6" t="s">
        <v>272</v>
      </c>
      <c r="C649" s="7">
        <v>42</v>
      </c>
      <c r="D649" s="7">
        <v>0</v>
      </c>
      <c r="E649" s="7">
        <v>9</v>
      </c>
      <c r="F649" s="7">
        <v>11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11</v>
      </c>
      <c r="W649" s="7">
        <v>0</v>
      </c>
      <c r="X649" s="7">
        <v>0</v>
      </c>
      <c r="Y649" s="7">
        <v>0</v>
      </c>
      <c r="Z649" s="7">
        <v>11</v>
      </c>
      <c r="AA649" s="7">
        <v>0</v>
      </c>
      <c r="AB649" s="7">
        <v>0</v>
      </c>
      <c r="AC649" s="7">
        <v>0</v>
      </c>
      <c r="AD649" s="7">
        <v>0</v>
      </c>
      <c r="AF649" s="8"/>
    </row>
    <row r="650" spans="1:32" ht="12.3">
      <c r="A650" s="6" t="s">
        <v>316</v>
      </c>
      <c r="B650" s="6" t="s">
        <v>273</v>
      </c>
      <c r="C650" s="7">
        <v>43</v>
      </c>
      <c r="D650" s="7">
        <v>1</v>
      </c>
      <c r="E650" s="7">
        <v>11</v>
      </c>
      <c r="F650" s="7">
        <v>18</v>
      </c>
      <c r="G650" s="7">
        <v>4</v>
      </c>
      <c r="H650" s="7">
        <v>0</v>
      </c>
      <c r="I650" s="7">
        <v>0</v>
      </c>
      <c r="J650" s="7">
        <v>0</v>
      </c>
      <c r="K650" s="7">
        <v>4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14</v>
      </c>
      <c r="W650" s="7">
        <v>0</v>
      </c>
      <c r="X650" s="7">
        <v>0</v>
      </c>
      <c r="Y650" s="7">
        <v>0</v>
      </c>
      <c r="Z650" s="7">
        <v>12</v>
      </c>
      <c r="AA650" s="7">
        <v>2</v>
      </c>
      <c r="AB650" s="7">
        <v>0</v>
      </c>
      <c r="AC650" s="7">
        <v>0</v>
      </c>
      <c r="AD650" s="7">
        <v>0</v>
      </c>
      <c r="AF650" s="8"/>
    </row>
    <row r="651" spans="1:32" ht="12.3">
      <c r="A651" s="6" t="s">
        <v>316</v>
      </c>
      <c r="B651" s="6" t="s">
        <v>132</v>
      </c>
      <c r="C651" s="7">
        <v>44</v>
      </c>
      <c r="D651" s="7">
        <v>0</v>
      </c>
      <c r="E651" s="7">
        <v>1</v>
      </c>
      <c r="F651" s="7">
        <v>1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1</v>
      </c>
      <c r="W651" s="7">
        <v>0</v>
      </c>
      <c r="X651" s="7">
        <v>0</v>
      </c>
      <c r="Y651" s="7">
        <v>0</v>
      </c>
      <c r="Z651" s="7">
        <v>0</v>
      </c>
      <c r="AA651" s="7">
        <v>1</v>
      </c>
      <c r="AB651" s="7">
        <v>0</v>
      </c>
      <c r="AC651" s="7">
        <v>0</v>
      </c>
      <c r="AD651" s="7">
        <v>0</v>
      </c>
      <c r="AF651" s="8"/>
    </row>
    <row r="652" spans="1:32" ht="12.3">
      <c r="A652" s="6" t="s">
        <v>316</v>
      </c>
      <c r="B652" s="6" t="s">
        <v>261</v>
      </c>
      <c r="C652" s="7">
        <v>48</v>
      </c>
      <c r="D652" s="7">
        <v>8</v>
      </c>
      <c r="E652" s="7">
        <v>11</v>
      </c>
      <c r="F652" s="7">
        <v>45</v>
      </c>
      <c r="G652" s="7">
        <v>24</v>
      </c>
      <c r="H652" s="7">
        <v>0</v>
      </c>
      <c r="I652" s="7">
        <v>0</v>
      </c>
      <c r="J652" s="7">
        <v>0</v>
      </c>
      <c r="K652" s="7">
        <v>20</v>
      </c>
      <c r="L652" s="7">
        <v>0</v>
      </c>
      <c r="M652" s="7">
        <v>4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21</v>
      </c>
      <c r="W652" s="7">
        <v>0</v>
      </c>
      <c r="X652" s="7">
        <v>0</v>
      </c>
      <c r="Y652" s="7">
        <v>0</v>
      </c>
      <c r="Z652" s="7">
        <v>9</v>
      </c>
      <c r="AA652" s="7">
        <v>12</v>
      </c>
      <c r="AB652" s="7">
        <v>0</v>
      </c>
      <c r="AC652" s="7">
        <v>0</v>
      </c>
      <c r="AD652" s="7">
        <v>0</v>
      </c>
      <c r="AF652" s="8"/>
    </row>
    <row r="653" spans="1:32" ht="12.3">
      <c r="A653" s="6" t="s">
        <v>316</v>
      </c>
      <c r="B653" s="6" t="s">
        <v>262</v>
      </c>
      <c r="C653" s="7">
        <v>52</v>
      </c>
      <c r="D653" s="7">
        <v>0</v>
      </c>
      <c r="E653" s="7">
        <v>14</v>
      </c>
      <c r="F653" s="7">
        <v>15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15</v>
      </c>
      <c r="W653" s="7">
        <v>0</v>
      </c>
      <c r="X653" s="7">
        <v>0</v>
      </c>
      <c r="Y653" s="7">
        <v>0</v>
      </c>
      <c r="Z653" s="7">
        <v>15</v>
      </c>
      <c r="AA653" s="7">
        <v>0</v>
      </c>
      <c r="AB653" s="7">
        <v>0</v>
      </c>
      <c r="AC653" s="7">
        <v>0</v>
      </c>
      <c r="AD653" s="7">
        <v>0</v>
      </c>
      <c r="AF653" s="8"/>
    </row>
    <row r="654" spans="1:32" ht="12.3">
      <c r="A654" s="6" t="s">
        <v>317</v>
      </c>
      <c r="B654" s="6" t="s">
        <v>269</v>
      </c>
      <c r="C654" s="7">
        <v>6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F654" s="8"/>
    </row>
    <row r="655" spans="1:32" ht="12.3">
      <c r="A655" s="6" t="s">
        <v>317</v>
      </c>
      <c r="B655" s="6" t="s">
        <v>270</v>
      </c>
      <c r="C655" s="7">
        <v>6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F655" s="8"/>
    </row>
    <row r="656" spans="1:32" ht="12.3">
      <c r="A656" s="6" t="s">
        <v>317</v>
      </c>
      <c r="B656" s="6" t="s">
        <v>271</v>
      </c>
      <c r="C656" s="7">
        <v>6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F656" s="8"/>
    </row>
    <row r="657" spans="1:32" ht="12.3">
      <c r="A657" s="6" t="s">
        <v>317</v>
      </c>
      <c r="B657" s="6" t="s">
        <v>272</v>
      </c>
      <c r="C657" s="7">
        <v>6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F657" s="8"/>
    </row>
    <row r="658" spans="1:32" ht="12.3">
      <c r="A658" s="6" t="s">
        <v>317</v>
      </c>
      <c r="B658" s="6" t="s">
        <v>273</v>
      </c>
      <c r="C658" s="7">
        <v>6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F658" s="8"/>
    </row>
    <row r="659" spans="1:32" ht="12.3">
      <c r="A659" s="6" t="s">
        <v>317</v>
      </c>
      <c r="B659" s="6" t="s">
        <v>132</v>
      </c>
      <c r="C659" s="7">
        <v>6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F659" s="8"/>
    </row>
    <row r="660" spans="1:32" ht="12.3">
      <c r="A660" s="6" t="s">
        <v>317</v>
      </c>
      <c r="B660" s="6" t="s">
        <v>261</v>
      </c>
      <c r="C660" s="7">
        <v>6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F660" s="8"/>
    </row>
    <row r="661" spans="1:32" ht="12.3">
      <c r="A661" s="6" t="s">
        <v>317</v>
      </c>
      <c r="B661" s="6" t="s">
        <v>262</v>
      </c>
      <c r="C661" s="7">
        <v>6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F661" s="8"/>
    </row>
    <row r="662" spans="1:32" ht="12.3">
      <c r="A662" s="6" t="s">
        <v>318</v>
      </c>
      <c r="B662" s="6" t="s">
        <v>262</v>
      </c>
      <c r="C662" s="7">
        <v>10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F662" s="8"/>
    </row>
    <row r="663" spans="1:32" ht="12.3">
      <c r="A663" s="6" t="s">
        <v>318</v>
      </c>
      <c r="B663" s="6" t="s">
        <v>303</v>
      </c>
      <c r="C663" s="7">
        <v>10</v>
      </c>
      <c r="D663" s="7">
        <v>2</v>
      </c>
      <c r="E663" s="7">
        <v>0</v>
      </c>
      <c r="F663" s="7">
        <v>15</v>
      </c>
      <c r="G663" s="7">
        <v>14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11</v>
      </c>
      <c r="O663" s="7">
        <v>0</v>
      </c>
      <c r="P663" s="7">
        <v>0</v>
      </c>
      <c r="Q663" s="7">
        <v>0</v>
      </c>
      <c r="R663" s="7">
        <v>3</v>
      </c>
      <c r="S663" s="7">
        <v>0</v>
      </c>
      <c r="T663" s="7">
        <v>0</v>
      </c>
      <c r="U663" s="7">
        <v>0</v>
      </c>
      <c r="V663" s="7">
        <v>1</v>
      </c>
      <c r="W663" s="7">
        <v>0</v>
      </c>
      <c r="X663" s="7">
        <v>0</v>
      </c>
      <c r="Y663" s="7">
        <v>0</v>
      </c>
      <c r="Z663" s="7">
        <v>1</v>
      </c>
      <c r="AA663" s="7">
        <v>0</v>
      </c>
      <c r="AB663" s="7">
        <v>0</v>
      </c>
      <c r="AC663" s="7">
        <v>0</v>
      </c>
      <c r="AD663" s="7">
        <v>0</v>
      </c>
      <c r="AF663" s="8"/>
    </row>
    <row r="664" spans="1:32" ht="12.3">
      <c r="A664" s="6" t="s">
        <v>318</v>
      </c>
      <c r="B664" s="6" t="s">
        <v>296</v>
      </c>
      <c r="C664" s="7">
        <v>10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F664" s="8"/>
    </row>
    <row r="665" spans="1:32" ht="12.3">
      <c r="A665" s="6" t="s">
        <v>319</v>
      </c>
      <c r="B665" s="6" t="s">
        <v>112</v>
      </c>
      <c r="C665" s="7">
        <v>34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F665" s="8"/>
    </row>
    <row r="666" spans="1:32" ht="12.3">
      <c r="A666" s="6" t="s">
        <v>319</v>
      </c>
      <c r="B666" s="6" t="s">
        <v>267</v>
      </c>
      <c r="C666" s="7">
        <v>34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F666" s="8"/>
    </row>
    <row r="667" spans="1:32" ht="12.3">
      <c r="A667" s="6" t="s">
        <v>319</v>
      </c>
      <c r="B667" s="6" t="s">
        <v>268</v>
      </c>
      <c r="C667" s="7">
        <v>41</v>
      </c>
      <c r="D667" s="7">
        <v>9</v>
      </c>
      <c r="E667" s="7">
        <v>13</v>
      </c>
      <c r="F667" s="7">
        <v>95</v>
      </c>
      <c r="G667" s="7">
        <v>54</v>
      </c>
      <c r="H667" s="7">
        <v>0</v>
      </c>
      <c r="I667" s="7">
        <v>0</v>
      </c>
      <c r="J667" s="7">
        <v>0</v>
      </c>
      <c r="K667" s="7">
        <v>52</v>
      </c>
      <c r="L667" s="7">
        <v>0</v>
      </c>
      <c r="M667" s="7">
        <v>2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41</v>
      </c>
      <c r="W667" s="7">
        <v>0</v>
      </c>
      <c r="X667" s="7">
        <v>0</v>
      </c>
      <c r="Y667" s="7">
        <v>0</v>
      </c>
      <c r="Z667" s="7">
        <v>10</v>
      </c>
      <c r="AA667" s="7">
        <v>31</v>
      </c>
      <c r="AB667" s="7">
        <v>0</v>
      </c>
      <c r="AC667" s="7">
        <v>0</v>
      </c>
      <c r="AD667" s="7">
        <v>0</v>
      </c>
      <c r="AF667" s="8"/>
    </row>
    <row r="668" spans="1:32" ht="12.3">
      <c r="A668" s="6" t="s">
        <v>319</v>
      </c>
      <c r="B668" s="6" t="s">
        <v>269</v>
      </c>
      <c r="C668" s="7">
        <v>48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F668" s="8"/>
    </row>
    <row r="669" spans="1:32" ht="12.3">
      <c r="A669" s="6" t="s">
        <v>319</v>
      </c>
      <c r="B669" s="6" t="s">
        <v>270</v>
      </c>
      <c r="C669" s="7">
        <v>48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F669" s="8"/>
    </row>
    <row r="670" spans="1:32" ht="12.3">
      <c r="A670" s="6" t="s">
        <v>319</v>
      </c>
      <c r="B670" s="6" t="s">
        <v>271</v>
      </c>
      <c r="C670" s="7">
        <v>48</v>
      </c>
      <c r="D670" s="7">
        <v>0</v>
      </c>
      <c r="E670" s="7">
        <v>9</v>
      </c>
      <c r="F670" s="7">
        <v>13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13</v>
      </c>
      <c r="W670" s="7">
        <v>0</v>
      </c>
      <c r="X670" s="7">
        <v>0</v>
      </c>
      <c r="Y670" s="7">
        <v>0</v>
      </c>
      <c r="Z670" s="7">
        <v>13</v>
      </c>
      <c r="AA670" s="7">
        <v>0</v>
      </c>
      <c r="AB670" s="7">
        <v>0</v>
      </c>
      <c r="AC670" s="7">
        <v>0</v>
      </c>
      <c r="AD670" s="7">
        <v>0</v>
      </c>
      <c r="AF670" s="8"/>
    </row>
    <row r="671" spans="1:32" ht="12.3">
      <c r="A671" s="6" t="s">
        <v>319</v>
      </c>
      <c r="B671" s="6" t="s">
        <v>272</v>
      </c>
      <c r="C671" s="7">
        <v>48</v>
      </c>
      <c r="D671" s="7">
        <v>0</v>
      </c>
      <c r="E671" s="7">
        <v>9</v>
      </c>
      <c r="F671" s="7">
        <v>13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13</v>
      </c>
      <c r="W671" s="7">
        <v>0</v>
      </c>
      <c r="X671" s="7">
        <v>0</v>
      </c>
      <c r="Y671" s="7">
        <v>0</v>
      </c>
      <c r="Z671" s="7">
        <v>13</v>
      </c>
      <c r="AA671" s="7">
        <v>0</v>
      </c>
      <c r="AB671" s="7">
        <v>0</v>
      </c>
      <c r="AC671" s="7">
        <v>0</v>
      </c>
      <c r="AD671" s="7">
        <v>0</v>
      </c>
      <c r="AF671" s="8"/>
    </row>
    <row r="672" spans="1:32" ht="12.3">
      <c r="A672" s="6" t="s">
        <v>319</v>
      </c>
      <c r="B672" s="6" t="s">
        <v>273</v>
      </c>
      <c r="C672" s="7">
        <v>50</v>
      </c>
      <c r="D672" s="7">
        <v>2</v>
      </c>
      <c r="E672" s="7">
        <v>11</v>
      </c>
      <c r="F672" s="7">
        <v>25</v>
      </c>
      <c r="G672" s="7">
        <v>8</v>
      </c>
      <c r="H672" s="7">
        <v>0</v>
      </c>
      <c r="I672" s="7">
        <v>0</v>
      </c>
      <c r="J672" s="7">
        <v>0</v>
      </c>
      <c r="K672" s="7">
        <v>8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17</v>
      </c>
      <c r="W672" s="7">
        <v>0</v>
      </c>
      <c r="X672" s="7">
        <v>0</v>
      </c>
      <c r="Y672" s="7">
        <v>0</v>
      </c>
      <c r="Z672" s="7">
        <v>13</v>
      </c>
      <c r="AA672" s="7">
        <v>4</v>
      </c>
      <c r="AB672" s="7">
        <v>0</v>
      </c>
      <c r="AC672" s="7">
        <v>0</v>
      </c>
      <c r="AD672" s="7">
        <v>0</v>
      </c>
      <c r="AF672" s="8"/>
    </row>
    <row r="673" spans="1:33" ht="12.3">
      <c r="A673" s="6" t="s">
        <v>319</v>
      </c>
      <c r="B673" s="6" t="s">
        <v>132</v>
      </c>
      <c r="C673" s="7">
        <v>56</v>
      </c>
      <c r="D673" s="7">
        <v>4</v>
      </c>
      <c r="E673" s="7">
        <v>13</v>
      </c>
      <c r="F673" s="7">
        <v>41</v>
      </c>
      <c r="G673" s="7">
        <v>20</v>
      </c>
      <c r="H673" s="7">
        <v>0</v>
      </c>
      <c r="I673" s="7">
        <v>0</v>
      </c>
      <c r="J673" s="7">
        <v>0</v>
      </c>
      <c r="K673" s="7">
        <v>20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21</v>
      </c>
      <c r="W673" s="7">
        <v>0</v>
      </c>
      <c r="X673" s="7">
        <v>0</v>
      </c>
      <c r="Y673" s="7">
        <v>0</v>
      </c>
      <c r="Z673" s="7">
        <v>13</v>
      </c>
      <c r="AA673" s="7">
        <v>8</v>
      </c>
      <c r="AB673" s="7">
        <v>0</v>
      </c>
      <c r="AC673" s="7">
        <v>0</v>
      </c>
      <c r="AD673" s="7">
        <v>0</v>
      </c>
      <c r="AF673" s="8"/>
    </row>
    <row r="674" spans="1:33" ht="12.3">
      <c r="A674" s="6" t="s">
        <v>319</v>
      </c>
      <c r="B674" s="6" t="s">
        <v>261</v>
      </c>
      <c r="C674" s="7">
        <v>60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F674" s="8"/>
    </row>
    <row r="675" spans="1:33" ht="12.3">
      <c r="A675" s="6" t="s">
        <v>320</v>
      </c>
      <c r="B675" s="6" t="s">
        <v>279</v>
      </c>
      <c r="C675" s="7">
        <v>6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F675" s="8"/>
    </row>
    <row r="676" spans="1:33" ht="12.3">
      <c r="A676" s="6" t="s">
        <v>320</v>
      </c>
      <c r="B676" s="6" t="s">
        <v>321</v>
      </c>
      <c r="C676" s="7">
        <v>10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F676" s="8"/>
    </row>
    <row r="677" spans="1:33" ht="12.3">
      <c r="A677" s="6" t="s">
        <v>322</v>
      </c>
      <c r="B677" s="6" t="s">
        <v>321</v>
      </c>
      <c r="C677" s="7">
        <v>6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F677" s="8"/>
    </row>
    <row r="678" spans="1:33" ht="12.3">
      <c r="A678" s="6" t="s">
        <v>323</v>
      </c>
      <c r="B678" s="6" t="s">
        <v>324</v>
      </c>
      <c r="C678" s="7">
        <v>16</v>
      </c>
      <c r="D678" s="7">
        <v>0</v>
      </c>
      <c r="E678" s="7">
        <v>2</v>
      </c>
      <c r="F678" s="7">
        <v>3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3</v>
      </c>
      <c r="W678" s="7">
        <v>0</v>
      </c>
      <c r="X678" s="7">
        <v>0</v>
      </c>
      <c r="Y678" s="7">
        <v>0</v>
      </c>
      <c r="Z678" s="7">
        <v>3</v>
      </c>
      <c r="AA678" s="7">
        <v>0</v>
      </c>
      <c r="AB678" s="7">
        <v>0</v>
      </c>
      <c r="AC678" s="7">
        <v>0</v>
      </c>
      <c r="AD678" s="7">
        <v>0</v>
      </c>
      <c r="AF678" s="8"/>
    </row>
    <row r="679" spans="1:33" ht="12.3">
      <c r="A679" s="6" t="s">
        <v>325</v>
      </c>
      <c r="B679" s="6" t="s">
        <v>326</v>
      </c>
      <c r="C679" s="7">
        <v>9</v>
      </c>
      <c r="D679" s="7">
        <v>0</v>
      </c>
      <c r="E679" s="7">
        <v>1</v>
      </c>
      <c r="F679" s="7">
        <v>2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2</v>
      </c>
      <c r="W679" s="7">
        <v>0</v>
      </c>
      <c r="X679" s="7">
        <v>0</v>
      </c>
      <c r="Y679" s="7">
        <v>0</v>
      </c>
      <c r="Z679" s="7">
        <v>0</v>
      </c>
      <c r="AA679" s="7">
        <v>2</v>
      </c>
      <c r="AB679" s="7">
        <v>0</v>
      </c>
      <c r="AC679" s="7">
        <v>0</v>
      </c>
      <c r="AD679" s="7">
        <v>0</v>
      </c>
      <c r="AF679" s="8"/>
    </row>
    <row r="680" spans="1:33" ht="12.3">
      <c r="A680" s="6" t="s">
        <v>325</v>
      </c>
      <c r="B680" s="6" t="s">
        <v>327</v>
      </c>
      <c r="C680" s="7">
        <v>18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F680" s="8"/>
    </row>
    <row r="681" spans="1:33" ht="12.3">
      <c r="A681" s="6" t="s">
        <v>328</v>
      </c>
      <c r="B681" s="6" t="s">
        <v>326</v>
      </c>
      <c r="C681" s="7">
        <v>11</v>
      </c>
      <c r="D681" s="7">
        <v>0</v>
      </c>
      <c r="E681" s="7">
        <v>1</v>
      </c>
      <c r="F681" s="7">
        <v>2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2</v>
      </c>
      <c r="W681" s="7">
        <v>0</v>
      </c>
      <c r="X681" s="7">
        <v>0</v>
      </c>
      <c r="Y681" s="7">
        <v>0</v>
      </c>
      <c r="Z681" s="7">
        <v>0</v>
      </c>
      <c r="AA681" s="7">
        <v>1</v>
      </c>
      <c r="AB681" s="7">
        <v>0</v>
      </c>
      <c r="AC681" s="7">
        <v>0</v>
      </c>
      <c r="AD681" s="7">
        <v>0</v>
      </c>
      <c r="AF681" s="8"/>
    </row>
    <row r="682" spans="1:33" ht="12.3">
      <c r="A682" s="6" t="s">
        <v>328</v>
      </c>
      <c r="B682" s="6" t="s">
        <v>327</v>
      </c>
      <c r="C682" s="7">
        <v>36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F682" s="8"/>
    </row>
    <row r="683" spans="1:33" ht="12.3">
      <c r="A683" s="6" t="s">
        <v>329</v>
      </c>
      <c r="B683" s="6" t="s">
        <v>330</v>
      </c>
      <c r="C683" s="7">
        <v>32</v>
      </c>
      <c r="D683" s="7">
        <v>0</v>
      </c>
      <c r="E683" s="7">
        <v>4</v>
      </c>
      <c r="F683" s="7">
        <v>4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4</v>
      </c>
      <c r="W683" s="7">
        <v>0</v>
      </c>
      <c r="X683" s="7">
        <v>0</v>
      </c>
      <c r="Y683" s="7">
        <v>0</v>
      </c>
      <c r="Z683" s="7">
        <v>4</v>
      </c>
      <c r="AA683" s="7">
        <v>0</v>
      </c>
      <c r="AB683" s="7">
        <v>0</v>
      </c>
      <c r="AC683" s="7">
        <v>0</v>
      </c>
      <c r="AD683" s="7">
        <v>0</v>
      </c>
      <c r="AF683" s="8"/>
    </row>
    <row r="684" spans="1:33" ht="12.3">
      <c r="A684" s="6" t="s">
        <v>331</v>
      </c>
      <c r="B684" s="6" t="s">
        <v>332</v>
      </c>
      <c r="C684" s="7">
        <v>8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F684" s="8"/>
    </row>
    <row r="685" spans="1:33" ht="12.3">
      <c r="A685" s="6" t="s">
        <v>331</v>
      </c>
      <c r="B685" s="6" t="s">
        <v>333</v>
      </c>
      <c r="C685" s="7">
        <v>8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F685" s="8"/>
    </row>
    <row r="686" spans="1:33" ht="12.3">
      <c r="A686" s="6" t="s">
        <v>334</v>
      </c>
      <c r="B686" s="6" t="s">
        <v>229</v>
      </c>
      <c r="C686" s="7">
        <v>4</v>
      </c>
      <c r="D686" s="7">
        <v>2</v>
      </c>
      <c r="E686" s="7">
        <v>1</v>
      </c>
      <c r="F686" s="7">
        <v>17</v>
      </c>
      <c r="G686" s="7">
        <v>15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15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2</v>
      </c>
      <c r="W686" s="7">
        <v>0</v>
      </c>
      <c r="X686" s="7">
        <v>0</v>
      </c>
      <c r="Y686" s="7">
        <v>0</v>
      </c>
      <c r="Z686" s="7">
        <v>2</v>
      </c>
      <c r="AA686" s="7">
        <v>0</v>
      </c>
      <c r="AB686" s="7">
        <v>0</v>
      </c>
      <c r="AC686" s="7">
        <v>0</v>
      </c>
      <c r="AD686" s="7">
        <v>0</v>
      </c>
      <c r="AF686" s="8"/>
    </row>
    <row r="687" spans="1:33" ht="12.3">
      <c r="A687" s="6" t="s">
        <v>335</v>
      </c>
      <c r="B687" s="6" t="s">
        <v>229</v>
      </c>
      <c r="C687" s="7">
        <v>4</v>
      </c>
      <c r="D687" s="7">
        <v>2</v>
      </c>
      <c r="E687" s="7">
        <v>0</v>
      </c>
      <c r="F687" s="7">
        <v>6</v>
      </c>
      <c r="G687" s="7">
        <v>6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6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F687" s="8"/>
    </row>
    <row r="688" spans="1:33" ht="12.3">
      <c r="A688" s="6" t="s">
        <v>336</v>
      </c>
      <c r="B688" s="6" t="s">
        <v>337</v>
      </c>
      <c r="C688" s="7">
        <v>34</v>
      </c>
      <c r="D688" s="7">
        <v>0</v>
      </c>
      <c r="E688" s="7">
        <v>4</v>
      </c>
      <c r="F688" s="7">
        <v>4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4</v>
      </c>
      <c r="W688" s="7">
        <v>0</v>
      </c>
      <c r="X688" s="7">
        <v>0</v>
      </c>
      <c r="Y688" s="7">
        <v>0</v>
      </c>
      <c r="Z688" s="7">
        <v>4</v>
      </c>
      <c r="AA688" s="7">
        <v>0</v>
      </c>
      <c r="AB688" s="7">
        <v>0</v>
      </c>
      <c r="AC688" s="7">
        <v>0</v>
      </c>
      <c r="AD688" s="7">
        <v>0</v>
      </c>
      <c r="AE688" s="7"/>
      <c r="AF688" s="8"/>
      <c r="AG688" s="8"/>
    </row>
    <row r="689" spans="1:33" ht="12.3">
      <c r="A689" s="6" t="s">
        <v>338</v>
      </c>
      <c r="B689" s="6" t="s">
        <v>339</v>
      </c>
      <c r="C689" s="7">
        <v>34</v>
      </c>
      <c r="D689" s="7">
        <v>0</v>
      </c>
      <c r="E689" s="7">
        <v>9</v>
      </c>
      <c r="F689" s="7">
        <v>11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11</v>
      </c>
      <c r="W689" s="7">
        <v>0</v>
      </c>
      <c r="X689" s="7">
        <v>0</v>
      </c>
      <c r="Y689" s="7">
        <v>0</v>
      </c>
      <c r="Z689" s="7">
        <v>10</v>
      </c>
      <c r="AA689" s="7">
        <v>0</v>
      </c>
      <c r="AB689" s="7">
        <v>0</v>
      </c>
      <c r="AC689" s="7">
        <v>0</v>
      </c>
      <c r="AD689" s="7">
        <v>0</v>
      </c>
      <c r="AE689" s="7"/>
      <c r="AF689" s="8"/>
      <c r="AG689" s="8"/>
    </row>
    <row r="690" spans="1:33" ht="12.3">
      <c r="A690" s="6" t="s">
        <v>338</v>
      </c>
      <c r="B690" s="6" t="s">
        <v>340</v>
      </c>
      <c r="C690" s="7">
        <v>34</v>
      </c>
      <c r="D690" s="7">
        <v>0</v>
      </c>
      <c r="E690" s="7">
        <v>9</v>
      </c>
      <c r="F690" s="7">
        <v>10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10</v>
      </c>
      <c r="W690" s="7">
        <v>0</v>
      </c>
      <c r="X690" s="7">
        <v>0</v>
      </c>
      <c r="Y690" s="7">
        <v>0</v>
      </c>
      <c r="Z690" s="7">
        <v>10</v>
      </c>
      <c r="AA690" s="7">
        <v>0</v>
      </c>
      <c r="AB690" s="7">
        <v>0</v>
      </c>
      <c r="AC690" s="7">
        <v>0</v>
      </c>
      <c r="AD690" s="7">
        <v>0</v>
      </c>
      <c r="AE690" s="7"/>
      <c r="AF690" s="8"/>
      <c r="AG690" s="8"/>
    </row>
    <row r="691" spans="1:33" ht="12.3">
      <c r="A691" s="6" t="s">
        <v>341</v>
      </c>
      <c r="B691" s="6" t="s">
        <v>342</v>
      </c>
      <c r="C691" s="7">
        <v>20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/>
      <c r="AF691" s="8"/>
      <c r="AG691" s="8"/>
    </row>
    <row r="692" spans="1:33" ht="12.3">
      <c r="A692" s="6" t="s">
        <v>343</v>
      </c>
      <c r="B692" s="6" t="s">
        <v>344</v>
      </c>
      <c r="C692" s="7">
        <v>44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/>
      <c r="AF692" s="8"/>
      <c r="AG692" s="8"/>
    </row>
    <row r="693" spans="1:33" ht="12.3">
      <c r="A693" s="6" t="s">
        <v>343</v>
      </c>
      <c r="B693" s="6" t="s">
        <v>345</v>
      </c>
      <c r="C693" s="7">
        <v>45</v>
      </c>
      <c r="D693" s="7">
        <v>1</v>
      </c>
      <c r="E693" s="7">
        <v>16</v>
      </c>
      <c r="F693" s="7">
        <v>50</v>
      </c>
      <c r="G693" s="7">
        <v>10</v>
      </c>
      <c r="H693" s="7">
        <v>0</v>
      </c>
      <c r="I693" s="7">
        <v>0</v>
      </c>
      <c r="J693" s="7">
        <v>0</v>
      </c>
      <c r="K693" s="7">
        <v>10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40</v>
      </c>
      <c r="W693" s="7">
        <v>0</v>
      </c>
      <c r="X693" s="7">
        <v>0</v>
      </c>
      <c r="Y693" s="7">
        <v>0</v>
      </c>
      <c r="Z693" s="7">
        <v>29</v>
      </c>
      <c r="AA693" s="7">
        <v>11</v>
      </c>
      <c r="AB693" s="7">
        <v>0</v>
      </c>
      <c r="AC693" s="7">
        <v>0</v>
      </c>
      <c r="AD693" s="7">
        <v>0</v>
      </c>
      <c r="AE693" s="7"/>
      <c r="AF693" s="8"/>
      <c r="AG693" s="8"/>
    </row>
    <row r="694" spans="1:33" ht="12.3">
      <c r="A694" s="6" t="s">
        <v>343</v>
      </c>
      <c r="B694" s="6" t="s">
        <v>346</v>
      </c>
      <c r="C694" s="7">
        <v>48</v>
      </c>
      <c r="D694" s="7">
        <v>0</v>
      </c>
      <c r="E694" s="7">
        <v>8</v>
      </c>
      <c r="F694" s="7">
        <v>11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11</v>
      </c>
      <c r="W694" s="7">
        <v>0</v>
      </c>
      <c r="X694" s="7">
        <v>0</v>
      </c>
      <c r="Y694" s="7">
        <v>0</v>
      </c>
      <c r="Z694" s="7">
        <v>11</v>
      </c>
      <c r="AA694" s="7">
        <v>0</v>
      </c>
      <c r="AB694" s="7">
        <v>0</v>
      </c>
      <c r="AC694" s="7">
        <v>0</v>
      </c>
      <c r="AD694" s="7">
        <v>0</v>
      </c>
      <c r="AE694" s="7"/>
      <c r="AF694" s="8"/>
      <c r="AG694" s="8"/>
    </row>
    <row r="695" spans="1:33" ht="12.3">
      <c r="A695" s="6" t="s">
        <v>343</v>
      </c>
      <c r="B695" s="6" t="s">
        <v>347</v>
      </c>
      <c r="C695" s="7">
        <v>64</v>
      </c>
      <c r="D695" s="7">
        <v>0</v>
      </c>
      <c r="E695" s="7">
        <v>10</v>
      </c>
      <c r="F695" s="7">
        <v>13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13</v>
      </c>
      <c r="W695" s="7">
        <v>0</v>
      </c>
      <c r="X695" s="7">
        <v>0</v>
      </c>
      <c r="Y695" s="7">
        <v>0</v>
      </c>
      <c r="Z695" s="7">
        <v>13</v>
      </c>
      <c r="AA695" s="7">
        <v>0</v>
      </c>
      <c r="AB695" s="7">
        <v>0</v>
      </c>
      <c r="AC695" s="7">
        <v>0</v>
      </c>
      <c r="AD695" s="7">
        <v>0</v>
      </c>
      <c r="AE695" s="7"/>
      <c r="AF695" s="8"/>
      <c r="AG695" s="8"/>
    </row>
    <row r="696" spans="1:33" ht="12.3">
      <c r="A696" s="6" t="s">
        <v>348</v>
      </c>
      <c r="B696" s="6" t="s">
        <v>349</v>
      </c>
      <c r="C696" s="7">
        <v>14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/>
      <c r="AF696" s="8"/>
      <c r="AG696" s="8"/>
    </row>
    <row r="697" spans="1:33" ht="12.3">
      <c r="A697" s="6" t="s">
        <v>350</v>
      </c>
      <c r="B697" s="6" t="s">
        <v>351</v>
      </c>
      <c r="C697" s="7">
        <v>10</v>
      </c>
      <c r="D697" s="7">
        <v>0</v>
      </c>
      <c r="E697" s="7">
        <v>5</v>
      </c>
      <c r="F697" s="7">
        <v>11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11</v>
      </c>
      <c r="W697" s="7">
        <v>0</v>
      </c>
      <c r="X697" s="7">
        <v>0</v>
      </c>
      <c r="Y697" s="7">
        <v>0</v>
      </c>
      <c r="Z697" s="7">
        <v>2</v>
      </c>
      <c r="AA697" s="7">
        <v>9</v>
      </c>
      <c r="AB697" s="7">
        <v>0</v>
      </c>
      <c r="AC697" s="7">
        <v>0</v>
      </c>
      <c r="AD697" s="7">
        <v>0</v>
      </c>
      <c r="AE697" s="7"/>
      <c r="AF697" s="8"/>
      <c r="AG697" s="8"/>
    </row>
    <row r="698" spans="1:33" ht="12.3">
      <c r="A698" s="6" t="s">
        <v>350</v>
      </c>
      <c r="B698" s="6" t="s">
        <v>352</v>
      </c>
      <c r="C698" s="7">
        <v>10</v>
      </c>
      <c r="D698" s="7">
        <v>0</v>
      </c>
      <c r="E698" s="7">
        <v>2</v>
      </c>
      <c r="F698" s="7">
        <v>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2</v>
      </c>
      <c r="W698" s="7">
        <v>0</v>
      </c>
      <c r="X698" s="7">
        <v>0</v>
      </c>
      <c r="Y698" s="7">
        <v>0</v>
      </c>
      <c r="Z698" s="7">
        <v>2</v>
      </c>
      <c r="AA698" s="7">
        <v>0</v>
      </c>
      <c r="AB698" s="7">
        <v>0</v>
      </c>
      <c r="AC698" s="7">
        <v>0</v>
      </c>
      <c r="AD698" s="7">
        <v>0</v>
      </c>
      <c r="AE698" s="7"/>
      <c r="AF698" s="8"/>
      <c r="AG698" s="8"/>
    </row>
    <row r="699" spans="1:33" ht="12.3">
      <c r="A699" s="6" t="s">
        <v>350</v>
      </c>
      <c r="B699" s="6" t="s">
        <v>353</v>
      </c>
      <c r="C699" s="7">
        <v>10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/>
      <c r="AF699" s="8"/>
      <c r="AG699" s="8"/>
    </row>
    <row r="700" spans="1:33" ht="12.3">
      <c r="A700" s="6" t="s">
        <v>350</v>
      </c>
      <c r="B700" s="6" t="s">
        <v>354</v>
      </c>
      <c r="C700" s="7">
        <v>10</v>
      </c>
      <c r="D700" s="7">
        <v>0</v>
      </c>
      <c r="E700" s="7">
        <v>2</v>
      </c>
      <c r="F700" s="7">
        <v>2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2</v>
      </c>
      <c r="W700" s="7">
        <v>0</v>
      </c>
      <c r="X700" s="7">
        <v>0</v>
      </c>
      <c r="Y700" s="7">
        <v>0</v>
      </c>
      <c r="Z700" s="7">
        <v>2</v>
      </c>
      <c r="AA700" s="7">
        <v>0</v>
      </c>
      <c r="AB700" s="7">
        <v>0</v>
      </c>
      <c r="AC700" s="7">
        <v>0</v>
      </c>
      <c r="AD700" s="7">
        <v>0</v>
      </c>
      <c r="AE700" s="7"/>
      <c r="AF700" s="8"/>
      <c r="AG700" s="8"/>
    </row>
    <row r="701" spans="1:33" ht="12.3">
      <c r="A701" s="6" t="s">
        <v>355</v>
      </c>
      <c r="B701" s="6" t="s">
        <v>356</v>
      </c>
      <c r="C701" s="7">
        <v>12</v>
      </c>
      <c r="D701" s="7">
        <v>0</v>
      </c>
      <c r="E701" s="7">
        <v>3</v>
      </c>
      <c r="F701" s="7">
        <v>3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3</v>
      </c>
      <c r="W701" s="7">
        <v>0</v>
      </c>
      <c r="X701" s="7">
        <v>0</v>
      </c>
      <c r="Y701" s="7">
        <v>0</v>
      </c>
      <c r="Z701" s="7">
        <v>3</v>
      </c>
      <c r="AA701" s="7">
        <v>0</v>
      </c>
      <c r="AB701" s="7">
        <v>0</v>
      </c>
      <c r="AC701" s="7">
        <v>0</v>
      </c>
      <c r="AD701" s="7">
        <v>0</v>
      </c>
      <c r="AE701" s="7"/>
      <c r="AF701" s="8"/>
      <c r="AG701" s="8"/>
    </row>
    <row r="702" spans="1:33" ht="12.3">
      <c r="A702" s="6" t="s">
        <v>355</v>
      </c>
      <c r="B702" s="6" t="s">
        <v>352</v>
      </c>
      <c r="C702" s="7">
        <v>12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/>
      <c r="AF702" s="8"/>
      <c r="AG702" s="8"/>
    </row>
    <row r="703" spans="1:33" ht="12.3">
      <c r="A703" s="6" t="s">
        <v>355</v>
      </c>
      <c r="B703" s="6" t="s">
        <v>353</v>
      </c>
      <c r="C703" s="7">
        <v>12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/>
      <c r="AF703" s="8"/>
      <c r="AG703" s="8"/>
    </row>
    <row r="704" spans="1:33" ht="12.3">
      <c r="A704" s="6" t="s">
        <v>355</v>
      </c>
      <c r="B704" s="6" t="s">
        <v>354</v>
      </c>
      <c r="C704" s="7">
        <v>12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/>
      <c r="AF704" s="8"/>
      <c r="AG704" s="8"/>
    </row>
    <row r="705" spans="1:33" ht="12.3">
      <c r="A705" s="6" t="s">
        <v>355</v>
      </c>
      <c r="B705" s="6" t="s">
        <v>357</v>
      </c>
      <c r="C705" s="7">
        <v>12</v>
      </c>
      <c r="D705" s="7">
        <v>0</v>
      </c>
      <c r="E705" s="7">
        <v>6</v>
      </c>
      <c r="F705" s="7">
        <v>12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12</v>
      </c>
      <c r="W705" s="7">
        <v>0</v>
      </c>
      <c r="X705" s="7">
        <v>0</v>
      </c>
      <c r="Y705" s="7">
        <v>0</v>
      </c>
      <c r="Z705" s="7">
        <v>2</v>
      </c>
      <c r="AA705" s="7">
        <v>10</v>
      </c>
      <c r="AB705" s="7">
        <v>0</v>
      </c>
      <c r="AC705" s="7">
        <v>0</v>
      </c>
      <c r="AD705" s="7">
        <v>0</v>
      </c>
      <c r="AE705" s="7"/>
      <c r="AF705" s="8"/>
      <c r="AG705" s="8"/>
    </row>
    <row r="706" spans="1:33" ht="12.3">
      <c r="A706" s="6" t="s">
        <v>358</v>
      </c>
      <c r="B706" s="6" t="s">
        <v>359</v>
      </c>
      <c r="C706" s="7">
        <v>12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  <c r="R706" s="7">
        <v>0</v>
      </c>
      <c r="S706" s="7">
        <v>0</v>
      </c>
      <c r="T706" s="7">
        <v>0</v>
      </c>
      <c r="U706" s="7">
        <v>0</v>
      </c>
      <c r="V706" s="7">
        <v>0</v>
      </c>
      <c r="W706" s="7">
        <v>0</v>
      </c>
      <c r="X706" s="7">
        <v>0</v>
      </c>
      <c r="Y706" s="7">
        <v>0</v>
      </c>
      <c r="Z706" s="7">
        <v>0</v>
      </c>
      <c r="AA706" s="7">
        <v>0</v>
      </c>
      <c r="AB706" s="7">
        <v>0</v>
      </c>
      <c r="AC706" s="7">
        <v>0</v>
      </c>
      <c r="AD706" s="7">
        <v>0</v>
      </c>
      <c r="AE706" s="7"/>
      <c r="AF706" s="8"/>
      <c r="AG706" s="8"/>
    </row>
    <row r="707" spans="1:33" ht="12.3">
      <c r="A707" s="6" t="s">
        <v>358</v>
      </c>
      <c r="B707" s="6" t="s">
        <v>352</v>
      </c>
      <c r="C707" s="7">
        <v>12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 s="7">
        <v>0</v>
      </c>
      <c r="U707" s="7">
        <v>0</v>
      </c>
      <c r="V707" s="7">
        <v>0</v>
      </c>
      <c r="W707" s="7">
        <v>0</v>
      </c>
      <c r="X707" s="7">
        <v>0</v>
      </c>
      <c r="Y707" s="7">
        <v>0</v>
      </c>
      <c r="Z707" s="7">
        <v>0</v>
      </c>
      <c r="AA707" s="7">
        <v>0</v>
      </c>
      <c r="AB707" s="7">
        <v>0</v>
      </c>
      <c r="AC707" s="7">
        <v>0</v>
      </c>
      <c r="AD707" s="7">
        <v>0</v>
      </c>
      <c r="AE707" s="7"/>
      <c r="AF707" s="8"/>
      <c r="AG707" s="8"/>
    </row>
    <row r="708" spans="1:33" ht="12.3">
      <c r="A708" s="6" t="s">
        <v>358</v>
      </c>
      <c r="B708" s="6" t="s">
        <v>353</v>
      </c>
      <c r="C708" s="7">
        <v>12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  <c r="R708" s="7">
        <v>0</v>
      </c>
      <c r="S708" s="7">
        <v>0</v>
      </c>
      <c r="T708" s="7">
        <v>0</v>
      </c>
      <c r="U708" s="7">
        <v>0</v>
      </c>
      <c r="V708" s="7">
        <v>0</v>
      </c>
      <c r="W708" s="7">
        <v>0</v>
      </c>
      <c r="X708" s="7">
        <v>0</v>
      </c>
      <c r="Y708" s="7">
        <v>0</v>
      </c>
      <c r="Z708" s="7">
        <v>0</v>
      </c>
      <c r="AA708" s="7">
        <v>0</v>
      </c>
      <c r="AB708" s="7">
        <v>0</v>
      </c>
      <c r="AC708" s="7">
        <v>0</v>
      </c>
      <c r="AD708" s="7">
        <v>0</v>
      </c>
      <c r="AE708" s="7"/>
      <c r="AF708" s="8"/>
      <c r="AG708" s="8"/>
    </row>
    <row r="709" spans="1:33" ht="12.3">
      <c r="A709" s="6" t="s">
        <v>358</v>
      </c>
      <c r="B709" s="6" t="s">
        <v>354</v>
      </c>
      <c r="C709" s="7">
        <v>12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 s="7">
        <v>0</v>
      </c>
      <c r="U709" s="7">
        <v>0</v>
      </c>
      <c r="V709" s="7">
        <v>0</v>
      </c>
      <c r="W709" s="7">
        <v>0</v>
      </c>
      <c r="X709" s="7">
        <v>0</v>
      </c>
      <c r="Y709" s="7">
        <v>0</v>
      </c>
      <c r="Z709" s="7">
        <v>0</v>
      </c>
      <c r="AA709" s="7">
        <v>0</v>
      </c>
      <c r="AB709" s="7">
        <v>0</v>
      </c>
      <c r="AC709" s="7">
        <v>0</v>
      </c>
      <c r="AD709" s="7">
        <v>0</v>
      </c>
      <c r="AE709" s="7"/>
      <c r="AF709" s="8"/>
      <c r="AG709" s="8"/>
    </row>
    <row r="710" spans="1:33" ht="12.3">
      <c r="A710" s="6" t="s">
        <v>358</v>
      </c>
      <c r="B710" s="6" t="s">
        <v>357</v>
      </c>
      <c r="C710" s="7">
        <v>12</v>
      </c>
      <c r="D710" s="7">
        <v>0</v>
      </c>
      <c r="E710" s="7">
        <v>2</v>
      </c>
      <c r="F710" s="7">
        <v>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  <c r="R710" s="7">
        <v>0</v>
      </c>
      <c r="S710" s="7">
        <v>0</v>
      </c>
      <c r="T710" s="7">
        <v>0</v>
      </c>
      <c r="U710" s="7">
        <v>0</v>
      </c>
      <c r="V710" s="7">
        <v>2</v>
      </c>
      <c r="W710" s="7">
        <v>0</v>
      </c>
      <c r="X710" s="7">
        <v>0</v>
      </c>
      <c r="Y710" s="7">
        <v>0</v>
      </c>
      <c r="Z710" s="7">
        <v>2</v>
      </c>
      <c r="AA710" s="7">
        <v>0</v>
      </c>
      <c r="AB710" s="7">
        <v>0</v>
      </c>
      <c r="AC710" s="7">
        <v>0</v>
      </c>
      <c r="AD710" s="7">
        <v>0</v>
      </c>
      <c r="AE710" s="7"/>
      <c r="AF710" s="8"/>
      <c r="AG710" s="8"/>
    </row>
    <row r="711" spans="1:33" ht="12.3">
      <c r="A711" s="6" t="s">
        <v>360</v>
      </c>
      <c r="B711" s="6" t="s">
        <v>361</v>
      </c>
      <c r="C711" s="7">
        <v>10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 s="7">
        <v>0</v>
      </c>
      <c r="U711" s="7">
        <v>0</v>
      </c>
      <c r="V711" s="7">
        <v>0</v>
      </c>
      <c r="W711" s="7">
        <v>0</v>
      </c>
      <c r="X711" s="7">
        <v>0</v>
      </c>
      <c r="Y711" s="7">
        <v>0</v>
      </c>
      <c r="Z711" s="7">
        <v>0</v>
      </c>
      <c r="AA711" s="7">
        <v>0</v>
      </c>
      <c r="AB711" s="7">
        <v>0</v>
      </c>
      <c r="AC711" s="7">
        <v>0</v>
      </c>
      <c r="AD711" s="7">
        <v>0</v>
      </c>
      <c r="AE711" s="7"/>
      <c r="AF711" s="8"/>
      <c r="AG711" s="8"/>
    </row>
    <row r="712" spans="1:33" ht="12.3">
      <c r="A712" s="6" t="s">
        <v>360</v>
      </c>
      <c r="B712" s="6" t="s">
        <v>362</v>
      </c>
      <c r="C712" s="7">
        <v>10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  <c r="R712" s="7">
        <v>0</v>
      </c>
      <c r="S712" s="7">
        <v>0</v>
      </c>
      <c r="T712" s="7">
        <v>0</v>
      </c>
      <c r="U712" s="7">
        <v>0</v>
      </c>
      <c r="V712" s="7">
        <v>0</v>
      </c>
      <c r="W712" s="7">
        <v>0</v>
      </c>
      <c r="X712" s="7">
        <v>0</v>
      </c>
      <c r="Y712" s="7">
        <v>0</v>
      </c>
      <c r="Z712" s="7">
        <v>0</v>
      </c>
      <c r="AA712" s="7">
        <v>0</v>
      </c>
      <c r="AB712" s="7">
        <v>0</v>
      </c>
      <c r="AC712" s="7">
        <v>0</v>
      </c>
      <c r="AD712" s="7">
        <v>0</v>
      </c>
      <c r="AE712" s="7"/>
      <c r="AF712" s="8"/>
      <c r="AG712" s="8"/>
    </row>
    <row r="713" spans="1:33" ht="12.3">
      <c r="A713" s="6" t="s">
        <v>360</v>
      </c>
      <c r="B713" s="6" t="s">
        <v>363</v>
      </c>
      <c r="C713" s="7">
        <v>10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 s="7">
        <v>0</v>
      </c>
      <c r="U713" s="7">
        <v>0</v>
      </c>
      <c r="V713" s="7">
        <v>0</v>
      </c>
      <c r="W713" s="7">
        <v>0</v>
      </c>
      <c r="X713" s="7">
        <v>0</v>
      </c>
      <c r="Y713" s="7">
        <v>0</v>
      </c>
      <c r="Z713" s="7">
        <v>0</v>
      </c>
      <c r="AA713" s="7">
        <v>0</v>
      </c>
      <c r="AB713" s="7">
        <v>0</v>
      </c>
      <c r="AC713" s="7">
        <v>0</v>
      </c>
      <c r="AD713" s="7">
        <v>0</v>
      </c>
      <c r="AE713" s="7"/>
      <c r="AF713" s="8"/>
      <c r="AG713" s="8"/>
    </row>
    <row r="714" spans="1:33" ht="12.3">
      <c r="A714" s="6" t="s">
        <v>364</v>
      </c>
      <c r="B714" s="6" t="s">
        <v>365</v>
      </c>
      <c r="C714" s="7">
        <v>18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  <c r="R714" s="7">
        <v>0</v>
      </c>
      <c r="S714" s="7">
        <v>0</v>
      </c>
      <c r="T714" s="7">
        <v>0</v>
      </c>
      <c r="U714" s="7">
        <v>0</v>
      </c>
      <c r="V714" s="7">
        <v>0</v>
      </c>
      <c r="W714" s="7">
        <v>0</v>
      </c>
      <c r="X714" s="7">
        <v>0</v>
      </c>
      <c r="Y714" s="7">
        <v>0</v>
      </c>
      <c r="Z714" s="7">
        <v>0</v>
      </c>
      <c r="AA714" s="7">
        <v>0</v>
      </c>
      <c r="AB714" s="7">
        <v>0</v>
      </c>
      <c r="AC714" s="7">
        <v>0</v>
      </c>
      <c r="AD714" s="7">
        <v>0</v>
      </c>
      <c r="AE714" s="7"/>
      <c r="AF714" s="8"/>
      <c r="AG714" s="8"/>
    </row>
    <row r="715" spans="1:33" ht="12.3">
      <c r="A715" s="6" t="s">
        <v>366</v>
      </c>
      <c r="B715" s="6" t="s">
        <v>367</v>
      </c>
      <c r="C715" s="7">
        <v>2</v>
      </c>
      <c r="D715" s="7">
        <v>0</v>
      </c>
      <c r="E715" s="7">
        <v>1</v>
      </c>
      <c r="F715" s="7">
        <v>1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 s="7">
        <v>0</v>
      </c>
      <c r="U715" s="7">
        <v>0</v>
      </c>
      <c r="V715" s="7">
        <v>1</v>
      </c>
      <c r="W715" s="7">
        <v>0</v>
      </c>
      <c r="X715" s="7">
        <v>0</v>
      </c>
      <c r="Y715" s="7">
        <v>0</v>
      </c>
      <c r="Z715" s="7">
        <v>1</v>
      </c>
      <c r="AA715" s="7">
        <v>0</v>
      </c>
      <c r="AB715" s="7">
        <v>0</v>
      </c>
      <c r="AC715" s="7">
        <v>0</v>
      </c>
      <c r="AD715" s="7">
        <v>0</v>
      </c>
      <c r="AE715" s="7"/>
      <c r="AF715" s="8"/>
      <c r="AG715" s="8"/>
    </row>
    <row r="716" spans="1:33" ht="12.3">
      <c r="A716" s="6" t="s">
        <v>366</v>
      </c>
      <c r="B716" s="6" t="s">
        <v>368</v>
      </c>
      <c r="C716" s="7">
        <v>2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1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/>
      <c r="AF716" s="8"/>
      <c r="AG716" s="8"/>
    </row>
    <row r="717" spans="1:33" ht="12.3">
      <c r="A717" s="6" t="s">
        <v>366</v>
      </c>
      <c r="B717" s="6" t="s">
        <v>369</v>
      </c>
      <c r="C717" s="7">
        <v>2</v>
      </c>
      <c r="D717" s="7">
        <v>1</v>
      </c>
      <c r="E717" s="7">
        <v>0</v>
      </c>
      <c r="F717" s="7">
        <v>1</v>
      </c>
      <c r="G717" s="7">
        <v>1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 s="7">
        <v>0</v>
      </c>
      <c r="U717" s="7">
        <v>0</v>
      </c>
      <c r="V717" s="7">
        <v>0</v>
      </c>
      <c r="W717" s="7">
        <v>0</v>
      </c>
      <c r="X717" s="7">
        <v>0</v>
      </c>
      <c r="Y717" s="7">
        <v>0</v>
      </c>
      <c r="Z717" s="7">
        <v>0</v>
      </c>
      <c r="AA717" s="7">
        <v>0</v>
      </c>
      <c r="AB717" s="7">
        <v>0</v>
      </c>
      <c r="AC717" s="7">
        <v>0</v>
      </c>
      <c r="AD717" s="7">
        <v>0</v>
      </c>
      <c r="AE717" s="7"/>
      <c r="AF717" s="8"/>
      <c r="AG717" s="8"/>
    </row>
    <row r="718" spans="1:33" ht="12.3">
      <c r="A718" s="6" t="s">
        <v>366</v>
      </c>
      <c r="B718" s="6" t="s">
        <v>370</v>
      </c>
      <c r="C718" s="7">
        <v>2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  <c r="R718" s="7">
        <v>0</v>
      </c>
      <c r="S718" s="7">
        <v>0</v>
      </c>
      <c r="T718" s="7">
        <v>0</v>
      </c>
      <c r="U718" s="7">
        <v>0</v>
      </c>
      <c r="V718" s="7">
        <v>0</v>
      </c>
      <c r="W718" s="7">
        <v>0</v>
      </c>
      <c r="X718" s="7">
        <v>0</v>
      </c>
      <c r="Y718" s="7">
        <v>0</v>
      </c>
      <c r="Z718" s="7">
        <v>0</v>
      </c>
      <c r="AA718" s="7">
        <v>0</v>
      </c>
      <c r="AB718" s="7">
        <v>0</v>
      </c>
      <c r="AC718" s="7">
        <v>0</v>
      </c>
      <c r="AD718" s="7">
        <v>0</v>
      </c>
      <c r="AE718" s="7"/>
      <c r="AF718" s="8"/>
      <c r="AG718" s="8"/>
    </row>
    <row r="719" spans="1:33" ht="12.3">
      <c r="A719" s="6" t="s">
        <v>366</v>
      </c>
      <c r="B719" s="6" t="s">
        <v>371</v>
      </c>
      <c r="C719" s="7">
        <v>18</v>
      </c>
      <c r="D719" s="7">
        <v>0</v>
      </c>
      <c r="E719" s="7">
        <v>1</v>
      </c>
      <c r="F719" s="7">
        <v>1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 s="7">
        <v>0</v>
      </c>
      <c r="U719" s="7">
        <v>0</v>
      </c>
      <c r="V719" s="7">
        <v>1</v>
      </c>
      <c r="W719" s="7">
        <v>0</v>
      </c>
      <c r="X719" s="7">
        <v>0</v>
      </c>
      <c r="Y719" s="7">
        <v>0</v>
      </c>
      <c r="Z719" s="7">
        <v>1</v>
      </c>
      <c r="AA719" s="7">
        <v>0</v>
      </c>
      <c r="AB719" s="7">
        <v>0</v>
      </c>
      <c r="AC719" s="7">
        <v>0</v>
      </c>
      <c r="AD719" s="7">
        <v>0</v>
      </c>
      <c r="AE719" s="7"/>
      <c r="AF719" s="8"/>
      <c r="AG719" s="8"/>
    </row>
    <row r="720" spans="1:33" ht="12.3">
      <c r="A720" s="6" t="s">
        <v>366</v>
      </c>
      <c r="B720" s="6" t="s">
        <v>372</v>
      </c>
      <c r="C720" s="7">
        <v>18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  <c r="R720" s="7">
        <v>0</v>
      </c>
      <c r="S720" s="7">
        <v>0</v>
      </c>
      <c r="T720" s="7">
        <v>0</v>
      </c>
      <c r="U720" s="7">
        <v>0</v>
      </c>
      <c r="V720" s="7">
        <v>0</v>
      </c>
      <c r="W720" s="7">
        <v>0</v>
      </c>
      <c r="X720" s="7">
        <v>0</v>
      </c>
      <c r="Y720" s="7">
        <v>0</v>
      </c>
      <c r="Z720" s="7">
        <v>0</v>
      </c>
      <c r="AA720" s="7">
        <v>0</v>
      </c>
      <c r="AB720" s="7">
        <v>0</v>
      </c>
      <c r="AC720" s="7">
        <v>0</v>
      </c>
      <c r="AD720" s="7">
        <v>0</v>
      </c>
      <c r="AE720" s="7"/>
      <c r="AF720" s="8"/>
      <c r="AG720" s="8"/>
    </row>
    <row r="721" spans="1:33" ht="12.3">
      <c r="A721" s="6" t="s">
        <v>373</v>
      </c>
      <c r="B721" s="6" t="s">
        <v>368</v>
      </c>
      <c r="C721" s="7">
        <v>22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v>0</v>
      </c>
      <c r="W721" s="7">
        <v>0</v>
      </c>
      <c r="X721" s="7">
        <v>0</v>
      </c>
      <c r="Y721" s="7">
        <v>0</v>
      </c>
      <c r="Z721" s="7">
        <v>0</v>
      </c>
      <c r="AA721" s="7">
        <v>0</v>
      </c>
      <c r="AB721" s="7">
        <v>0</v>
      </c>
      <c r="AC721" s="7">
        <v>0</v>
      </c>
      <c r="AD721" s="7">
        <v>0</v>
      </c>
      <c r="AE721" s="7"/>
      <c r="AF721" s="8"/>
      <c r="AG721" s="8"/>
    </row>
    <row r="722" spans="1:33" ht="12.3">
      <c r="A722" s="6" t="s">
        <v>373</v>
      </c>
      <c r="B722" s="6" t="s">
        <v>370</v>
      </c>
      <c r="C722" s="7">
        <v>28</v>
      </c>
      <c r="D722" s="7">
        <v>0</v>
      </c>
      <c r="E722" s="7">
        <v>4</v>
      </c>
      <c r="F722" s="7">
        <v>4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4</v>
      </c>
      <c r="W722" s="7">
        <v>0</v>
      </c>
      <c r="X722" s="7">
        <v>0</v>
      </c>
      <c r="Y722" s="7">
        <v>0</v>
      </c>
      <c r="Z722" s="7">
        <v>4</v>
      </c>
      <c r="AA722" s="7">
        <v>0</v>
      </c>
      <c r="AB722" s="7">
        <v>0</v>
      </c>
      <c r="AC722" s="7">
        <v>0</v>
      </c>
      <c r="AD722" s="7">
        <v>0</v>
      </c>
      <c r="AE722" s="7"/>
      <c r="AF722" s="8"/>
      <c r="AG722" s="8"/>
    </row>
    <row r="723" spans="1:33" ht="12.3">
      <c r="A723" s="6" t="s">
        <v>373</v>
      </c>
      <c r="B723" s="6" t="s">
        <v>371</v>
      </c>
      <c r="C723" s="7">
        <v>32</v>
      </c>
      <c r="D723" s="7">
        <v>0</v>
      </c>
      <c r="E723" s="7">
        <v>5</v>
      </c>
      <c r="F723" s="7">
        <v>6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0</v>
      </c>
      <c r="S723" s="7">
        <v>0</v>
      </c>
      <c r="T723" s="7">
        <v>0</v>
      </c>
      <c r="U723" s="7">
        <v>0</v>
      </c>
      <c r="V723" s="7">
        <v>6</v>
      </c>
      <c r="W723" s="7">
        <v>0</v>
      </c>
      <c r="X723" s="7">
        <v>0</v>
      </c>
      <c r="Y723" s="7">
        <v>0</v>
      </c>
      <c r="Z723" s="7">
        <v>6</v>
      </c>
      <c r="AA723" s="7">
        <v>0</v>
      </c>
      <c r="AB723" s="7">
        <v>0</v>
      </c>
      <c r="AC723" s="7">
        <v>0</v>
      </c>
      <c r="AD723" s="7">
        <v>0</v>
      </c>
      <c r="AE723" s="7"/>
      <c r="AF723" s="8"/>
      <c r="AG723" s="8"/>
    </row>
    <row r="724" spans="1:33" ht="12.3">
      <c r="A724" s="6" t="s">
        <v>374</v>
      </c>
      <c r="B724" s="6" t="s">
        <v>375</v>
      </c>
      <c r="C724" s="7">
        <v>2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  <c r="R724" s="7">
        <v>0</v>
      </c>
      <c r="S724" s="7">
        <v>0</v>
      </c>
      <c r="T724" s="7">
        <v>0</v>
      </c>
      <c r="U724" s="7">
        <v>0</v>
      </c>
      <c r="V724" s="7">
        <v>0</v>
      </c>
      <c r="W724" s="7">
        <v>0</v>
      </c>
      <c r="X724" s="7">
        <v>0</v>
      </c>
      <c r="Y724" s="7">
        <v>0</v>
      </c>
      <c r="Z724" s="7">
        <v>0</v>
      </c>
      <c r="AA724" s="7">
        <v>0</v>
      </c>
      <c r="AB724" s="7">
        <v>0</v>
      </c>
      <c r="AC724" s="7">
        <v>0</v>
      </c>
      <c r="AD724" s="7">
        <v>0</v>
      </c>
      <c r="AE724" s="7"/>
      <c r="AF724" s="8"/>
      <c r="AG724" s="8"/>
    </row>
    <row r="725" spans="1:33" ht="12.3">
      <c r="A725" s="6" t="s">
        <v>376</v>
      </c>
      <c r="B725" s="6" t="s">
        <v>377</v>
      </c>
      <c r="C725" s="7">
        <v>20</v>
      </c>
      <c r="D725" s="7">
        <v>4</v>
      </c>
      <c r="E725" s="7">
        <v>0</v>
      </c>
      <c r="F725" s="7">
        <v>12</v>
      </c>
      <c r="G725" s="7">
        <v>12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12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 s="7">
        <v>0</v>
      </c>
      <c r="U725" s="7">
        <v>0</v>
      </c>
      <c r="V725" s="7">
        <v>0</v>
      </c>
      <c r="W725" s="7">
        <v>0</v>
      </c>
      <c r="X725" s="7">
        <v>0</v>
      </c>
      <c r="Y725" s="7">
        <v>0</v>
      </c>
      <c r="Z725" s="7">
        <v>0</v>
      </c>
      <c r="AA725" s="7">
        <v>0</v>
      </c>
      <c r="AB725" s="7">
        <v>0</v>
      </c>
      <c r="AC725" s="7">
        <v>0</v>
      </c>
      <c r="AD725" s="7">
        <v>0</v>
      </c>
      <c r="AE725" s="7"/>
      <c r="AF725" s="8"/>
      <c r="AG725" s="8"/>
    </row>
    <row r="726" spans="1:33" ht="12.3">
      <c r="A726" s="6" t="s">
        <v>378</v>
      </c>
      <c r="B726" s="6" t="s">
        <v>379</v>
      </c>
      <c r="C726" s="7">
        <v>8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  <c r="R726" s="7">
        <v>0</v>
      </c>
      <c r="S726" s="7">
        <v>0</v>
      </c>
      <c r="T726" s="7">
        <v>0</v>
      </c>
      <c r="U726" s="7">
        <v>0</v>
      </c>
      <c r="V726" s="7">
        <v>0</v>
      </c>
      <c r="W726" s="7">
        <v>0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0</v>
      </c>
      <c r="AE726" s="7"/>
      <c r="AF726" s="8"/>
      <c r="AG726" s="8"/>
    </row>
    <row r="727" spans="1:33" ht="12.3">
      <c r="A727" s="6" t="s">
        <v>380</v>
      </c>
      <c r="B727" s="6" t="s">
        <v>379</v>
      </c>
      <c r="C727" s="7">
        <v>4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0</v>
      </c>
      <c r="S727" s="7">
        <v>0</v>
      </c>
      <c r="T727" s="7">
        <v>0</v>
      </c>
      <c r="U727" s="7">
        <v>0</v>
      </c>
      <c r="V727" s="7">
        <v>0</v>
      </c>
      <c r="W727" s="7">
        <v>0</v>
      </c>
      <c r="X727" s="7">
        <v>0</v>
      </c>
      <c r="Y727" s="7">
        <v>0</v>
      </c>
      <c r="Z727" s="7">
        <v>0</v>
      </c>
      <c r="AA727" s="7">
        <v>0</v>
      </c>
      <c r="AB727" s="7">
        <v>0</v>
      </c>
      <c r="AC727" s="7">
        <v>0</v>
      </c>
      <c r="AD727" s="7">
        <v>0</v>
      </c>
      <c r="AE727" s="7"/>
      <c r="AF727" s="8"/>
      <c r="AG727" s="8"/>
    </row>
    <row r="728" spans="1:33" ht="12.3">
      <c r="A728" s="6" t="s">
        <v>381</v>
      </c>
      <c r="B728" s="6" t="s">
        <v>382</v>
      </c>
      <c r="C728" s="7">
        <v>4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  <c r="R728" s="7">
        <v>0</v>
      </c>
      <c r="S728" s="7">
        <v>0</v>
      </c>
      <c r="T728" s="7">
        <v>0</v>
      </c>
      <c r="U728" s="7">
        <v>0</v>
      </c>
      <c r="V728" s="7">
        <v>0</v>
      </c>
      <c r="W728" s="7">
        <v>0</v>
      </c>
      <c r="X728" s="7">
        <v>0</v>
      </c>
      <c r="Y728" s="7">
        <v>0</v>
      </c>
      <c r="Z728" s="7">
        <v>0</v>
      </c>
      <c r="AA728" s="7">
        <v>0</v>
      </c>
      <c r="AB728" s="7">
        <v>0</v>
      </c>
      <c r="AC728" s="7">
        <v>0</v>
      </c>
      <c r="AD728" s="7">
        <v>0</v>
      </c>
      <c r="AE728" s="7"/>
      <c r="AF728" s="8"/>
      <c r="AG728" s="8"/>
    </row>
    <row r="729" spans="1:33" ht="12.3">
      <c r="A729" s="6" t="s">
        <v>383</v>
      </c>
      <c r="B729" s="6" t="s">
        <v>382</v>
      </c>
      <c r="C729" s="7">
        <v>14</v>
      </c>
      <c r="D729" s="7">
        <v>0</v>
      </c>
      <c r="E729" s="7">
        <v>2</v>
      </c>
      <c r="F729" s="7">
        <v>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 s="7">
        <v>0</v>
      </c>
      <c r="U729" s="7">
        <v>0</v>
      </c>
      <c r="V729" s="7">
        <v>2</v>
      </c>
      <c r="W729" s="7">
        <v>0</v>
      </c>
      <c r="X729" s="7">
        <v>0</v>
      </c>
      <c r="Y729" s="7">
        <v>0</v>
      </c>
      <c r="Z729" s="7">
        <v>2</v>
      </c>
      <c r="AA729" s="7">
        <v>0</v>
      </c>
      <c r="AB729" s="7">
        <v>0</v>
      </c>
      <c r="AC729" s="7">
        <v>0</v>
      </c>
      <c r="AD729" s="7">
        <v>0</v>
      </c>
      <c r="AE729" s="7"/>
      <c r="AF729" s="8"/>
      <c r="AG729" s="8"/>
    </row>
    <row r="730" spans="1:33" ht="12.3">
      <c r="A730" s="6" t="s">
        <v>384</v>
      </c>
      <c r="B730" s="6" t="s">
        <v>382</v>
      </c>
      <c r="C730" s="7">
        <v>6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0</v>
      </c>
      <c r="W730" s="7">
        <v>0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/>
      <c r="AF730" s="8"/>
      <c r="AG730" s="8"/>
    </row>
    <row r="731" spans="1:33" ht="12.3">
      <c r="A731" s="6" t="s">
        <v>385</v>
      </c>
      <c r="B731" s="6" t="s">
        <v>386</v>
      </c>
      <c r="C731" s="7">
        <v>30</v>
      </c>
      <c r="D731" s="7">
        <v>0</v>
      </c>
      <c r="E731" s="7">
        <v>5</v>
      </c>
      <c r="F731" s="7">
        <v>8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 s="7">
        <v>0</v>
      </c>
      <c r="U731" s="7">
        <v>0</v>
      </c>
      <c r="V731" s="7">
        <v>8</v>
      </c>
      <c r="W731" s="7">
        <v>0</v>
      </c>
      <c r="X731" s="7">
        <v>0</v>
      </c>
      <c r="Y731" s="7">
        <v>0</v>
      </c>
      <c r="Z731" s="7">
        <v>8</v>
      </c>
      <c r="AA731" s="7">
        <v>0</v>
      </c>
      <c r="AB731" s="7">
        <v>0</v>
      </c>
      <c r="AC731" s="7">
        <v>0</v>
      </c>
      <c r="AD731" s="7">
        <v>0</v>
      </c>
      <c r="AE731" s="7"/>
      <c r="AF731" s="8"/>
      <c r="AG731" s="8"/>
    </row>
    <row r="732" spans="1:33" ht="12.3">
      <c r="A732" s="6" t="s">
        <v>387</v>
      </c>
      <c r="B732" s="6" t="s">
        <v>388</v>
      </c>
      <c r="C732" s="7">
        <v>18</v>
      </c>
      <c r="D732" s="7">
        <v>0</v>
      </c>
      <c r="E732" s="7">
        <v>4</v>
      </c>
      <c r="F732" s="7">
        <v>6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  <c r="R732" s="7">
        <v>0</v>
      </c>
      <c r="S732" s="7">
        <v>0</v>
      </c>
      <c r="T732" s="7">
        <v>0</v>
      </c>
      <c r="U732" s="7">
        <v>0</v>
      </c>
      <c r="V732" s="7">
        <v>6</v>
      </c>
      <c r="W732" s="7">
        <v>0</v>
      </c>
      <c r="X732" s="7">
        <v>0</v>
      </c>
      <c r="Y732" s="7">
        <v>0</v>
      </c>
      <c r="Z732" s="7">
        <v>6</v>
      </c>
      <c r="AA732" s="7">
        <v>0</v>
      </c>
      <c r="AB732" s="7">
        <v>0</v>
      </c>
      <c r="AC732" s="7">
        <v>0</v>
      </c>
      <c r="AD732" s="7">
        <v>0</v>
      </c>
      <c r="AE732" s="7"/>
      <c r="AF732" s="8"/>
      <c r="AG732" s="8"/>
    </row>
    <row r="733" spans="1:33" ht="12.3">
      <c r="A733" s="6" t="s">
        <v>387</v>
      </c>
      <c r="B733" s="6" t="s">
        <v>4</v>
      </c>
      <c r="C733" s="7">
        <v>18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 s="7">
        <v>0</v>
      </c>
      <c r="U733" s="7">
        <v>0</v>
      </c>
      <c r="V733" s="7">
        <v>0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/>
      <c r="AF733" s="8"/>
      <c r="AG733" s="8"/>
    </row>
    <row r="734" spans="1:33" ht="12.3">
      <c r="A734" s="6" t="s">
        <v>387</v>
      </c>
      <c r="B734" s="6" t="s">
        <v>324</v>
      </c>
      <c r="C734" s="7">
        <v>18</v>
      </c>
      <c r="D734" s="7">
        <v>0</v>
      </c>
      <c r="E734" s="7">
        <v>4</v>
      </c>
      <c r="F734" s="7">
        <v>6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  <c r="R734" s="7">
        <v>0</v>
      </c>
      <c r="S734" s="7">
        <v>0</v>
      </c>
      <c r="T734" s="7">
        <v>0</v>
      </c>
      <c r="U734" s="7">
        <v>0</v>
      </c>
      <c r="V734" s="7">
        <v>6</v>
      </c>
      <c r="W734" s="7">
        <v>0</v>
      </c>
      <c r="X734" s="7">
        <v>0</v>
      </c>
      <c r="Y734" s="7">
        <v>0</v>
      </c>
      <c r="Z734" s="7">
        <v>6</v>
      </c>
      <c r="AA734" s="7">
        <v>0</v>
      </c>
      <c r="AB734" s="7">
        <v>0</v>
      </c>
      <c r="AC734" s="7">
        <v>0</v>
      </c>
      <c r="AD734" s="7">
        <v>0</v>
      </c>
      <c r="AE734" s="7"/>
      <c r="AF734" s="8"/>
      <c r="AG734" s="8"/>
    </row>
    <row r="735" spans="1:33" ht="12.3">
      <c r="A735" s="6" t="s">
        <v>389</v>
      </c>
      <c r="B735" s="6" t="s">
        <v>390</v>
      </c>
      <c r="C735" s="7">
        <v>16</v>
      </c>
      <c r="D735" s="7">
        <v>0</v>
      </c>
      <c r="E735" s="7">
        <v>1</v>
      </c>
      <c r="F735" s="7">
        <v>2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 s="7">
        <v>0</v>
      </c>
      <c r="U735" s="7">
        <v>0</v>
      </c>
      <c r="V735" s="7">
        <v>2</v>
      </c>
      <c r="W735" s="7">
        <v>0</v>
      </c>
      <c r="X735" s="7">
        <v>0</v>
      </c>
      <c r="Y735" s="7">
        <v>0</v>
      </c>
      <c r="Z735" s="7">
        <v>2</v>
      </c>
      <c r="AA735" s="7">
        <v>0</v>
      </c>
      <c r="AB735" s="7">
        <v>0</v>
      </c>
      <c r="AC735" s="7">
        <v>0</v>
      </c>
      <c r="AD735" s="7">
        <v>0</v>
      </c>
      <c r="AE735" s="7"/>
      <c r="AF735" s="8"/>
      <c r="AG735" s="8"/>
    </row>
    <row r="736" spans="1:33" ht="12.3">
      <c r="A736" s="6" t="s">
        <v>389</v>
      </c>
      <c r="B736" s="6" t="s">
        <v>4</v>
      </c>
      <c r="C736" s="7">
        <v>16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0</v>
      </c>
      <c r="W736" s="7">
        <v>0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/>
      <c r="AF736" s="8"/>
      <c r="AG736" s="8"/>
    </row>
    <row r="737" spans="1:33" ht="12.3">
      <c r="A737" s="6" t="s">
        <v>389</v>
      </c>
      <c r="B737" s="6" t="s">
        <v>324</v>
      </c>
      <c r="C737" s="7">
        <v>16</v>
      </c>
      <c r="D737" s="7">
        <v>0</v>
      </c>
      <c r="E737" s="7">
        <v>1</v>
      </c>
      <c r="F737" s="7">
        <v>2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 s="7">
        <v>0</v>
      </c>
      <c r="U737" s="7">
        <v>0</v>
      </c>
      <c r="V737" s="7">
        <v>2</v>
      </c>
      <c r="W737" s="7">
        <v>0</v>
      </c>
      <c r="X737" s="7">
        <v>0</v>
      </c>
      <c r="Y737" s="7">
        <v>0</v>
      </c>
      <c r="Z737" s="7">
        <v>2</v>
      </c>
      <c r="AA737" s="7">
        <v>0</v>
      </c>
      <c r="AB737" s="7">
        <v>0</v>
      </c>
      <c r="AC737" s="7">
        <v>0</v>
      </c>
      <c r="AD737" s="7">
        <v>0</v>
      </c>
      <c r="AE737" s="7"/>
      <c r="AF737" s="8"/>
      <c r="AG737" s="8"/>
    </row>
    <row r="738" spans="1:33" ht="12.3">
      <c r="A738" s="6" t="s">
        <v>391</v>
      </c>
      <c r="B738" s="6" t="s">
        <v>392</v>
      </c>
      <c r="C738" s="7">
        <v>10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  <c r="R738" s="7">
        <v>0</v>
      </c>
      <c r="S738" s="7">
        <v>0</v>
      </c>
      <c r="T738" s="7">
        <v>0</v>
      </c>
      <c r="U738" s="7">
        <v>0</v>
      </c>
      <c r="V738" s="7">
        <v>0</v>
      </c>
      <c r="W738" s="7">
        <v>0</v>
      </c>
      <c r="X738" s="7">
        <v>0</v>
      </c>
      <c r="Y738" s="7">
        <v>0</v>
      </c>
      <c r="Z738" s="7">
        <v>0</v>
      </c>
      <c r="AA738" s="7">
        <v>0</v>
      </c>
      <c r="AB738" s="7">
        <v>0</v>
      </c>
      <c r="AC738" s="7">
        <v>0</v>
      </c>
      <c r="AD738" s="7">
        <v>0</v>
      </c>
      <c r="AE738" s="7"/>
      <c r="AF738" s="8"/>
      <c r="AG738" s="8"/>
    </row>
    <row r="739" spans="1:33" ht="12.3">
      <c r="A739" s="6" t="s">
        <v>393</v>
      </c>
      <c r="B739" s="6" t="s">
        <v>394</v>
      </c>
      <c r="C739" s="7">
        <v>4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 s="7">
        <v>0</v>
      </c>
      <c r="U739" s="7">
        <v>0</v>
      </c>
      <c r="V739" s="7">
        <v>0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/>
      <c r="AF739" s="8"/>
      <c r="AG739" s="8"/>
    </row>
    <row r="740" spans="1:33" ht="12.3">
      <c r="A740" s="6" t="s">
        <v>395</v>
      </c>
      <c r="B740" s="6" t="s">
        <v>396</v>
      </c>
      <c r="C740" s="7">
        <v>2</v>
      </c>
      <c r="D740" s="7">
        <v>1</v>
      </c>
      <c r="E740" s="7">
        <v>1</v>
      </c>
      <c r="F740" s="7">
        <v>3</v>
      </c>
      <c r="G740" s="7">
        <v>2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2</v>
      </c>
      <c r="O740" s="7">
        <v>0</v>
      </c>
      <c r="P740" s="7">
        <v>0</v>
      </c>
      <c r="Q740" s="7">
        <v>0</v>
      </c>
      <c r="R740" s="7">
        <v>0</v>
      </c>
      <c r="S740" s="7">
        <v>0</v>
      </c>
      <c r="T740" s="7">
        <v>0</v>
      </c>
      <c r="U740" s="7">
        <v>0</v>
      </c>
      <c r="V740" s="7">
        <v>1</v>
      </c>
      <c r="W740" s="7">
        <v>0</v>
      </c>
      <c r="X740" s="7">
        <v>0</v>
      </c>
      <c r="Y740" s="7">
        <v>0</v>
      </c>
      <c r="Z740" s="7">
        <v>0</v>
      </c>
      <c r="AA740" s="7">
        <v>1</v>
      </c>
      <c r="AB740" s="7">
        <v>0</v>
      </c>
      <c r="AC740" s="7">
        <v>0</v>
      </c>
      <c r="AD740" s="7">
        <v>0</v>
      </c>
      <c r="AE740" s="7"/>
      <c r="AF740" s="8"/>
      <c r="AG740" s="8"/>
    </row>
    <row r="741" spans="1:33" ht="12.3">
      <c r="A741" s="6" t="s">
        <v>395</v>
      </c>
      <c r="B741" s="6" t="s">
        <v>397</v>
      </c>
      <c r="C741" s="7">
        <v>2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>
        <v>0</v>
      </c>
      <c r="U741" s="7">
        <v>0</v>
      </c>
      <c r="V741" s="7">
        <v>0</v>
      </c>
      <c r="W741" s="7">
        <v>0</v>
      </c>
      <c r="X741" s="7">
        <v>0</v>
      </c>
      <c r="Y741" s="7">
        <v>0</v>
      </c>
      <c r="Z741" s="7">
        <v>0</v>
      </c>
      <c r="AA741" s="7">
        <v>0</v>
      </c>
      <c r="AB741" s="7">
        <v>0</v>
      </c>
      <c r="AC741" s="7">
        <v>0</v>
      </c>
      <c r="AD741" s="7">
        <v>0</v>
      </c>
      <c r="AE741" s="7"/>
      <c r="AF741" s="8"/>
      <c r="AG741" s="8"/>
    </row>
    <row r="742" spans="1:33" ht="12.3">
      <c r="A742" s="6" t="s">
        <v>398</v>
      </c>
      <c r="B742" s="6" t="s">
        <v>399</v>
      </c>
      <c r="C742" s="7">
        <v>2</v>
      </c>
      <c r="D742" s="7">
        <v>1</v>
      </c>
      <c r="E742" s="7">
        <v>1</v>
      </c>
      <c r="F742" s="7">
        <v>2</v>
      </c>
      <c r="G742" s="7">
        <v>1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1</v>
      </c>
      <c r="O742" s="7">
        <v>0</v>
      </c>
      <c r="P742" s="7">
        <v>0</v>
      </c>
      <c r="Q742" s="7">
        <v>0</v>
      </c>
      <c r="R742" s="7">
        <v>0</v>
      </c>
      <c r="S742" s="7">
        <v>0</v>
      </c>
      <c r="T742" s="7">
        <v>0</v>
      </c>
      <c r="U742" s="7">
        <v>0</v>
      </c>
      <c r="V742" s="7">
        <v>1</v>
      </c>
      <c r="W742" s="7">
        <v>0</v>
      </c>
      <c r="X742" s="7">
        <v>0</v>
      </c>
      <c r="Y742" s="7">
        <v>0</v>
      </c>
      <c r="Z742" s="7">
        <v>0</v>
      </c>
      <c r="AA742" s="7">
        <v>1</v>
      </c>
      <c r="AB742" s="7">
        <v>0</v>
      </c>
      <c r="AC742" s="7">
        <v>0</v>
      </c>
      <c r="AD742" s="7">
        <v>0</v>
      </c>
      <c r="AE742" s="7"/>
      <c r="AF742" s="8"/>
      <c r="AG742" s="8"/>
    </row>
    <row r="743" spans="1:33" ht="12.3">
      <c r="A743" s="6" t="s">
        <v>400</v>
      </c>
      <c r="B743" s="6" t="s">
        <v>401</v>
      </c>
      <c r="C743" s="7">
        <v>3</v>
      </c>
      <c r="D743" s="7">
        <v>1</v>
      </c>
      <c r="E743" s="7">
        <v>2</v>
      </c>
      <c r="F743" s="7">
        <v>13</v>
      </c>
      <c r="G743" s="7">
        <v>4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17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v>9</v>
      </c>
      <c r="W743" s="7">
        <v>0</v>
      </c>
      <c r="X743" s="7">
        <v>0</v>
      </c>
      <c r="Y743" s="7">
        <v>0</v>
      </c>
      <c r="Z743" s="7">
        <v>0</v>
      </c>
      <c r="AA743" s="7">
        <v>9</v>
      </c>
      <c r="AB743" s="7">
        <v>0</v>
      </c>
      <c r="AC743" s="7">
        <v>0</v>
      </c>
      <c r="AD743" s="7">
        <v>0</v>
      </c>
      <c r="AE743" s="7"/>
      <c r="AF743" s="8"/>
      <c r="AG743" s="8"/>
    </row>
    <row r="744" spans="1:33" ht="12.3">
      <c r="A744" s="6" t="s">
        <v>402</v>
      </c>
      <c r="B744" s="6" t="s">
        <v>399</v>
      </c>
      <c r="C744" s="7">
        <v>6</v>
      </c>
      <c r="D744" s="7">
        <v>3</v>
      </c>
      <c r="E744" s="7">
        <v>3</v>
      </c>
      <c r="F744" s="7">
        <v>28</v>
      </c>
      <c r="G744" s="7">
        <v>17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  <c r="R744" s="7">
        <v>0</v>
      </c>
      <c r="S744" s="7">
        <v>0</v>
      </c>
      <c r="T744" s="7">
        <v>0</v>
      </c>
      <c r="U744" s="7">
        <v>0</v>
      </c>
      <c r="V744" s="7">
        <v>11</v>
      </c>
      <c r="W744" s="7">
        <v>0</v>
      </c>
      <c r="X744" s="7">
        <v>0</v>
      </c>
      <c r="Y744" s="7">
        <v>0</v>
      </c>
      <c r="Z744" s="7">
        <v>2</v>
      </c>
      <c r="AA744" s="7">
        <v>9</v>
      </c>
      <c r="AB744" s="7">
        <v>0</v>
      </c>
      <c r="AC744" s="7">
        <v>0</v>
      </c>
      <c r="AD744" s="7">
        <v>0</v>
      </c>
      <c r="AE744" s="7"/>
      <c r="AF744" s="8"/>
      <c r="AG744" s="8"/>
    </row>
    <row r="745" spans="1:33" ht="12.3">
      <c r="A745" s="6" t="s">
        <v>403</v>
      </c>
      <c r="B745" s="6" t="s">
        <v>404</v>
      </c>
      <c r="C745" s="7">
        <v>4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v>0</v>
      </c>
      <c r="W745" s="7">
        <v>0</v>
      </c>
      <c r="X745" s="7">
        <v>0</v>
      </c>
      <c r="Y745" s="7">
        <v>0</v>
      </c>
      <c r="Z745" s="7">
        <v>0</v>
      </c>
      <c r="AA745" s="7">
        <v>0</v>
      </c>
      <c r="AB745" s="7">
        <v>0</v>
      </c>
      <c r="AC745" s="7">
        <v>0</v>
      </c>
      <c r="AD745" s="7">
        <v>0</v>
      </c>
      <c r="AE745" s="7"/>
      <c r="AF745" s="8"/>
      <c r="AG745" s="8"/>
    </row>
    <row r="746" spans="1:33" ht="12.3">
      <c r="A746" s="6" t="s">
        <v>405</v>
      </c>
      <c r="B746" s="6" t="s">
        <v>406</v>
      </c>
      <c r="C746" s="7">
        <v>14</v>
      </c>
      <c r="D746" s="7">
        <v>4</v>
      </c>
      <c r="E746" s="7">
        <v>3</v>
      </c>
      <c r="F746" s="7">
        <v>28</v>
      </c>
      <c r="G746" s="7">
        <v>7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7</v>
      </c>
      <c r="O746" s="7">
        <v>0</v>
      </c>
      <c r="P746" s="7">
        <v>0</v>
      </c>
      <c r="Q746" s="7">
        <v>0</v>
      </c>
      <c r="R746" s="7">
        <v>0</v>
      </c>
      <c r="S746" s="7">
        <v>0</v>
      </c>
      <c r="T746" s="7">
        <v>0</v>
      </c>
      <c r="U746" s="7">
        <v>0</v>
      </c>
      <c r="V746" s="7">
        <v>21</v>
      </c>
      <c r="W746" s="7">
        <v>0</v>
      </c>
      <c r="X746" s="7">
        <v>0</v>
      </c>
      <c r="Y746" s="7">
        <v>0</v>
      </c>
      <c r="Z746" s="7">
        <v>21</v>
      </c>
      <c r="AA746" s="7">
        <v>0</v>
      </c>
      <c r="AB746" s="7">
        <v>0</v>
      </c>
      <c r="AC746" s="7">
        <v>0</v>
      </c>
      <c r="AD746" s="7">
        <v>0</v>
      </c>
      <c r="AE746" s="7"/>
      <c r="AF746" s="8"/>
      <c r="AG746" s="8"/>
    </row>
    <row r="747" spans="1:33" ht="12.3">
      <c r="A747" s="6" t="s">
        <v>405</v>
      </c>
      <c r="B747" s="6" t="s">
        <v>407</v>
      </c>
      <c r="C747" s="7">
        <v>18</v>
      </c>
      <c r="D747" s="7">
        <v>0</v>
      </c>
      <c r="E747" s="7">
        <v>5</v>
      </c>
      <c r="F747" s="7">
        <v>6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 s="7">
        <v>0</v>
      </c>
      <c r="U747" s="7">
        <v>0</v>
      </c>
      <c r="V747" s="7">
        <v>6</v>
      </c>
      <c r="W747" s="7">
        <v>0</v>
      </c>
      <c r="X747" s="7">
        <v>0</v>
      </c>
      <c r="Y747" s="7">
        <v>0</v>
      </c>
      <c r="Z747" s="7">
        <v>6</v>
      </c>
      <c r="AA747" s="7">
        <v>0</v>
      </c>
      <c r="AB747" s="7">
        <v>0</v>
      </c>
      <c r="AC747" s="7">
        <v>0</v>
      </c>
      <c r="AD747" s="7">
        <v>0</v>
      </c>
      <c r="AE747" s="7"/>
      <c r="AF747" s="8"/>
      <c r="AG747" s="8"/>
    </row>
    <row r="748" spans="1:33" ht="12.3">
      <c r="A748" s="6" t="s">
        <v>405</v>
      </c>
      <c r="B748" s="6" t="s">
        <v>408</v>
      </c>
      <c r="C748" s="7">
        <v>22</v>
      </c>
      <c r="D748" s="7">
        <v>0</v>
      </c>
      <c r="E748" s="7">
        <v>5</v>
      </c>
      <c r="F748" s="7">
        <v>6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  <c r="R748" s="7">
        <v>0</v>
      </c>
      <c r="S748" s="7">
        <v>0</v>
      </c>
      <c r="T748" s="7">
        <v>0</v>
      </c>
      <c r="U748" s="7">
        <v>0</v>
      </c>
      <c r="V748" s="7">
        <v>6</v>
      </c>
      <c r="W748" s="7">
        <v>0</v>
      </c>
      <c r="X748" s="7">
        <v>0</v>
      </c>
      <c r="Y748" s="7">
        <v>0</v>
      </c>
      <c r="Z748" s="7">
        <v>6</v>
      </c>
      <c r="AA748" s="7">
        <v>0</v>
      </c>
      <c r="AB748" s="7">
        <v>0</v>
      </c>
      <c r="AC748" s="7">
        <v>0</v>
      </c>
      <c r="AD748" s="7">
        <v>0</v>
      </c>
      <c r="AE748" s="7"/>
      <c r="AF748" s="8"/>
      <c r="AG748" s="8"/>
    </row>
    <row r="749" spans="1:33" ht="12.3">
      <c r="A749" s="6" t="s">
        <v>409</v>
      </c>
      <c r="B749" s="6" t="s">
        <v>410</v>
      </c>
      <c r="C749" s="7">
        <v>18</v>
      </c>
      <c r="D749" s="7">
        <v>0</v>
      </c>
      <c r="E749" s="7">
        <v>7</v>
      </c>
      <c r="F749" s="7">
        <v>8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v>8</v>
      </c>
      <c r="W749" s="7">
        <v>0</v>
      </c>
      <c r="X749" s="7">
        <v>0</v>
      </c>
      <c r="Y749" s="7">
        <v>0</v>
      </c>
      <c r="Z749" s="7">
        <v>7</v>
      </c>
      <c r="AA749" s="7">
        <v>1</v>
      </c>
      <c r="AB749" s="7">
        <v>0</v>
      </c>
      <c r="AC749" s="7">
        <v>0</v>
      </c>
      <c r="AD749" s="7">
        <v>0</v>
      </c>
      <c r="AE749" s="7"/>
      <c r="AF749" s="8"/>
      <c r="AG749" s="8"/>
    </row>
    <row r="750" spans="1:33" ht="12.3">
      <c r="A750" s="6" t="s">
        <v>411</v>
      </c>
      <c r="B750" s="6" t="s">
        <v>412</v>
      </c>
      <c r="C750" s="7">
        <v>44</v>
      </c>
      <c r="D750" s="7">
        <v>5</v>
      </c>
      <c r="E750" s="7">
        <v>9</v>
      </c>
      <c r="F750" s="7">
        <v>27</v>
      </c>
      <c r="G750" s="7">
        <v>13</v>
      </c>
      <c r="H750" s="7">
        <v>0</v>
      </c>
      <c r="I750" s="7">
        <v>0</v>
      </c>
      <c r="J750" s="7">
        <v>0</v>
      </c>
      <c r="K750" s="7">
        <v>10</v>
      </c>
      <c r="L750" s="7">
        <v>0</v>
      </c>
      <c r="M750" s="7">
        <v>3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14</v>
      </c>
      <c r="W750" s="7">
        <v>0</v>
      </c>
      <c r="X750" s="7">
        <v>0</v>
      </c>
      <c r="Y750" s="7">
        <v>0</v>
      </c>
      <c r="Z750" s="7">
        <v>9</v>
      </c>
      <c r="AA750" s="7">
        <v>5</v>
      </c>
      <c r="AB750" s="7">
        <v>0</v>
      </c>
      <c r="AC750" s="7">
        <v>0</v>
      </c>
      <c r="AD750" s="7">
        <v>0</v>
      </c>
      <c r="AE750" s="7"/>
      <c r="AF750" s="8"/>
      <c r="AG750" s="8"/>
    </row>
    <row r="751" spans="1:33" ht="12.3">
      <c r="A751" s="6" t="s">
        <v>411</v>
      </c>
      <c r="B751" s="6" t="s">
        <v>413</v>
      </c>
      <c r="C751" s="7">
        <v>46</v>
      </c>
      <c r="D751" s="7">
        <v>0</v>
      </c>
      <c r="E751" s="7">
        <v>12</v>
      </c>
      <c r="F751" s="7">
        <v>14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v>14</v>
      </c>
      <c r="W751" s="7">
        <v>0</v>
      </c>
      <c r="X751" s="7">
        <v>0</v>
      </c>
      <c r="Y751" s="7">
        <v>0</v>
      </c>
      <c r="Z751" s="7">
        <v>14</v>
      </c>
      <c r="AA751" s="7">
        <v>0</v>
      </c>
      <c r="AB751" s="7">
        <v>0</v>
      </c>
      <c r="AC751" s="7">
        <v>0</v>
      </c>
      <c r="AD751" s="7">
        <v>0</v>
      </c>
      <c r="AE751" s="7"/>
      <c r="AF751" s="8"/>
      <c r="AG751" s="8"/>
    </row>
    <row r="752" spans="1:33" ht="12.3">
      <c r="A752" s="6" t="s">
        <v>411</v>
      </c>
      <c r="B752" s="6" t="s">
        <v>191</v>
      </c>
      <c r="C752" s="7">
        <v>46</v>
      </c>
      <c r="D752" s="7">
        <v>0</v>
      </c>
      <c r="E752" s="7">
        <v>12</v>
      </c>
      <c r="F752" s="7">
        <v>14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  <c r="R752" s="7">
        <v>0</v>
      </c>
      <c r="S752" s="7">
        <v>0</v>
      </c>
      <c r="T752" s="7">
        <v>0</v>
      </c>
      <c r="U752" s="7">
        <v>0</v>
      </c>
      <c r="V752" s="7">
        <v>14</v>
      </c>
      <c r="W752" s="7">
        <v>0</v>
      </c>
      <c r="X752" s="7">
        <v>0</v>
      </c>
      <c r="Y752" s="7">
        <v>0</v>
      </c>
      <c r="Z752" s="7">
        <v>14</v>
      </c>
      <c r="AA752" s="7">
        <v>0</v>
      </c>
      <c r="AB752" s="7">
        <v>0</v>
      </c>
      <c r="AC752" s="7">
        <v>0</v>
      </c>
      <c r="AD752" s="7">
        <v>0</v>
      </c>
      <c r="AE752" s="7"/>
      <c r="AF752" s="8"/>
      <c r="AG752" s="8"/>
    </row>
    <row r="753" spans="1:33" ht="12.3">
      <c r="A753" s="6" t="s">
        <v>411</v>
      </c>
      <c r="B753" s="6" t="s">
        <v>414</v>
      </c>
      <c r="C753" s="7">
        <v>48</v>
      </c>
      <c r="D753" s="7">
        <v>5</v>
      </c>
      <c r="E753" s="7">
        <v>10</v>
      </c>
      <c r="F753" s="7">
        <v>31</v>
      </c>
      <c r="G753" s="7">
        <v>16</v>
      </c>
      <c r="H753" s="7">
        <v>0</v>
      </c>
      <c r="I753" s="7">
        <v>0</v>
      </c>
      <c r="J753" s="7">
        <v>0</v>
      </c>
      <c r="K753" s="7">
        <v>13</v>
      </c>
      <c r="L753" s="7">
        <v>0</v>
      </c>
      <c r="M753" s="7">
        <v>3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 s="7">
        <v>0</v>
      </c>
      <c r="U753" s="7">
        <v>0</v>
      </c>
      <c r="V753" s="7">
        <v>15</v>
      </c>
      <c r="W753" s="7">
        <v>0</v>
      </c>
      <c r="X753" s="7">
        <v>0</v>
      </c>
      <c r="Y753" s="7">
        <v>0</v>
      </c>
      <c r="Z753" s="7">
        <v>10</v>
      </c>
      <c r="AA753" s="7">
        <v>5</v>
      </c>
      <c r="AB753" s="7">
        <v>0</v>
      </c>
      <c r="AC753" s="7">
        <v>0</v>
      </c>
      <c r="AD753" s="7">
        <v>0</v>
      </c>
      <c r="AE753" s="7"/>
      <c r="AF753" s="8"/>
      <c r="AG753" s="8"/>
    </row>
    <row r="754" spans="1:33" ht="12.3">
      <c r="A754" s="6" t="s">
        <v>411</v>
      </c>
      <c r="B754" s="6" t="s">
        <v>244</v>
      </c>
      <c r="C754" s="7">
        <v>50</v>
      </c>
      <c r="D754" s="7">
        <v>0</v>
      </c>
      <c r="E754" s="7">
        <v>13</v>
      </c>
      <c r="F754" s="7">
        <v>15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  <c r="R754" s="7">
        <v>0</v>
      </c>
      <c r="S754" s="7">
        <v>0</v>
      </c>
      <c r="T754" s="7">
        <v>0</v>
      </c>
      <c r="U754" s="7">
        <v>0</v>
      </c>
      <c r="V754" s="7">
        <v>15</v>
      </c>
      <c r="W754" s="7">
        <v>0</v>
      </c>
      <c r="X754" s="7">
        <v>0</v>
      </c>
      <c r="Y754" s="7">
        <v>0</v>
      </c>
      <c r="Z754" s="7">
        <v>15</v>
      </c>
      <c r="AA754" s="7">
        <v>0</v>
      </c>
      <c r="AB754" s="7">
        <v>0</v>
      </c>
      <c r="AC754" s="7">
        <v>0</v>
      </c>
      <c r="AD754" s="7">
        <v>0</v>
      </c>
      <c r="AE754" s="8"/>
      <c r="AF754" s="8"/>
      <c r="AG754" s="8"/>
    </row>
    <row r="755" spans="1:33" ht="12.3">
      <c r="A755" s="6" t="s">
        <v>415</v>
      </c>
      <c r="B755" s="6" t="s">
        <v>416</v>
      </c>
      <c r="C755" s="7">
        <v>16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v>0</v>
      </c>
      <c r="W755" s="7">
        <v>0</v>
      </c>
      <c r="X755" s="7">
        <v>0</v>
      </c>
      <c r="Y755" s="7">
        <v>0</v>
      </c>
      <c r="Z755" s="7">
        <v>0</v>
      </c>
      <c r="AA755" s="7">
        <v>0</v>
      </c>
      <c r="AB755" s="7">
        <v>0</v>
      </c>
      <c r="AC755" s="7">
        <v>0</v>
      </c>
      <c r="AD755" s="7">
        <v>0</v>
      </c>
      <c r="AE755" s="8"/>
      <c r="AF755" s="8"/>
      <c r="AG755" s="8"/>
    </row>
    <row r="756" spans="1:33" ht="12.3">
      <c r="A756" s="6" t="s">
        <v>417</v>
      </c>
      <c r="B756" s="6" t="s">
        <v>418</v>
      </c>
      <c r="C756" s="7">
        <v>20</v>
      </c>
      <c r="D756" s="7">
        <v>0</v>
      </c>
      <c r="E756" s="7">
        <v>4</v>
      </c>
      <c r="F756" s="7">
        <v>11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11</v>
      </c>
      <c r="W756" s="7">
        <v>0</v>
      </c>
      <c r="X756" s="7">
        <v>0</v>
      </c>
      <c r="Y756" s="7">
        <v>0</v>
      </c>
      <c r="Z756" s="7">
        <v>11</v>
      </c>
      <c r="AA756" s="7">
        <v>0</v>
      </c>
      <c r="AB756" s="7">
        <v>0</v>
      </c>
      <c r="AC756" s="7">
        <v>0</v>
      </c>
      <c r="AD756" s="7">
        <v>0</v>
      </c>
      <c r="AE756" s="8"/>
      <c r="AF756" s="8"/>
      <c r="AG756" s="8"/>
    </row>
    <row r="757" spans="1:33" ht="12.3">
      <c r="A757" s="6" t="s">
        <v>419</v>
      </c>
      <c r="B757" s="6" t="s">
        <v>420</v>
      </c>
      <c r="C757" s="7">
        <v>12</v>
      </c>
      <c r="D757" s="7">
        <v>0</v>
      </c>
      <c r="E757" s="7">
        <v>2</v>
      </c>
      <c r="F757" s="7">
        <v>3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>
        <v>0</v>
      </c>
      <c r="S757" s="7">
        <v>0</v>
      </c>
      <c r="T757" s="7">
        <v>0</v>
      </c>
      <c r="U757" s="7">
        <v>0</v>
      </c>
      <c r="V757" s="7">
        <v>3</v>
      </c>
      <c r="W757" s="7">
        <v>0</v>
      </c>
      <c r="X757" s="7">
        <v>0</v>
      </c>
      <c r="Y757" s="7">
        <v>0</v>
      </c>
      <c r="Z757" s="7">
        <v>3</v>
      </c>
      <c r="AA757" s="7">
        <v>0</v>
      </c>
      <c r="AB757" s="7">
        <v>0</v>
      </c>
      <c r="AC757" s="7">
        <v>0</v>
      </c>
      <c r="AD757" s="7">
        <v>0</v>
      </c>
      <c r="AE757" s="8"/>
      <c r="AF757" s="8"/>
      <c r="AG757" s="8"/>
    </row>
    <row r="758" spans="1:33" ht="12.3">
      <c r="A758" s="6" t="s">
        <v>419</v>
      </c>
      <c r="B758" s="6" t="s">
        <v>421</v>
      </c>
      <c r="C758" s="7">
        <v>12</v>
      </c>
      <c r="D758" s="7">
        <v>0</v>
      </c>
      <c r="E758" s="7">
        <v>3</v>
      </c>
      <c r="F758" s="7">
        <v>5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  <c r="R758" s="7">
        <v>0</v>
      </c>
      <c r="S758" s="7">
        <v>0</v>
      </c>
      <c r="T758" s="7">
        <v>0</v>
      </c>
      <c r="U758" s="7">
        <v>0</v>
      </c>
      <c r="V758" s="7">
        <v>5</v>
      </c>
      <c r="W758" s="7">
        <v>0</v>
      </c>
      <c r="X758" s="7">
        <v>0</v>
      </c>
      <c r="Y758" s="7">
        <v>0</v>
      </c>
      <c r="Z758" s="7">
        <v>5</v>
      </c>
      <c r="AA758" s="7">
        <v>0</v>
      </c>
      <c r="AB758" s="7">
        <v>0</v>
      </c>
      <c r="AC758" s="7">
        <v>0</v>
      </c>
      <c r="AD758" s="7">
        <v>0</v>
      </c>
      <c r="AE758" s="8"/>
      <c r="AF758" s="8"/>
      <c r="AG758" s="8"/>
    </row>
    <row r="759" spans="1:33" ht="12.3">
      <c r="A759" s="6" t="s">
        <v>422</v>
      </c>
      <c r="B759" s="6" t="s">
        <v>423</v>
      </c>
      <c r="C759" s="7">
        <v>28</v>
      </c>
      <c r="D759" s="7">
        <v>0</v>
      </c>
      <c r="E759" s="7">
        <v>11</v>
      </c>
      <c r="F759" s="7">
        <v>20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 s="7">
        <v>0</v>
      </c>
      <c r="U759" s="7">
        <v>0</v>
      </c>
      <c r="V759" s="7">
        <v>20</v>
      </c>
      <c r="W759" s="7">
        <v>0</v>
      </c>
      <c r="X759" s="7">
        <v>0</v>
      </c>
      <c r="Y759" s="7">
        <v>0</v>
      </c>
      <c r="Z759" s="7">
        <v>8</v>
      </c>
      <c r="AA759" s="7">
        <v>12</v>
      </c>
      <c r="AB759" s="7">
        <v>0</v>
      </c>
      <c r="AC759" s="7">
        <v>0</v>
      </c>
      <c r="AD759" s="7">
        <v>0</v>
      </c>
      <c r="AE759" s="8"/>
      <c r="AF759" s="8"/>
      <c r="AG759" s="8"/>
    </row>
    <row r="760" spans="1:33" ht="12.3">
      <c r="A760" s="6" t="s">
        <v>422</v>
      </c>
      <c r="B760" s="6" t="s">
        <v>424</v>
      </c>
      <c r="C760" s="7">
        <v>28</v>
      </c>
      <c r="D760" s="7">
        <v>0</v>
      </c>
      <c r="E760" s="7">
        <v>9</v>
      </c>
      <c r="F760" s="7">
        <v>13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  <c r="R760" s="7">
        <v>0</v>
      </c>
      <c r="S760" s="7">
        <v>0</v>
      </c>
      <c r="T760" s="7">
        <v>0</v>
      </c>
      <c r="U760" s="7">
        <v>0</v>
      </c>
      <c r="V760" s="7">
        <v>13</v>
      </c>
      <c r="W760" s="7">
        <v>0</v>
      </c>
      <c r="X760" s="7">
        <v>0</v>
      </c>
      <c r="Y760" s="7">
        <v>0</v>
      </c>
      <c r="Z760" s="7">
        <v>7</v>
      </c>
      <c r="AA760" s="7">
        <v>6</v>
      </c>
      <c r="AB760" s="7">
        <v>0</v>
      </c>
      <c r="AC760" s="7">
        <v>0</v>
      </c>
      <c r="AD760" s="7">
        <v>0</v>
      </c>
      <c r="AE760" s="8"/>
      <c r="AF760" s="8"/>
      <c r="AG760" s="8"/>
    </row>
    <row r="761" spans="1:33" ht="12.3">
      <c r="A761" s="6" t="s">
        <v>425</v>
      </c>
      <c r="B761" s="6" t="s">
        <v>426</v>
      </c>
      <c r="C761" s="7">
        <v>42</v>
      </c>
      <c r="D761" s="7">
        <v>1</v>
      </c>
      <c r="E761" s="7">
        <v>18</v>
      </c>
      <c r="F761" s="7">
        <v>28</v>
      </c>
      <c r="G761" s="7">
        <v>4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 s="7">
        <v>4</v>
      </c>
      <c r="U761" s="7">
        <v>0</v>
      </c>
      <c r="V761" s="7">
        <v>24</v>
      </c>
      <c r="W761" s="7">
        <v>0</v>
      </c>
      <c r="X761" s="7">
        <v>0</v>
      </c>
      <c r="Y761" s="7">
        <v>0</v>
      </c>
      <c r="Z761" s="7">
        <v>5</v>
      </c>
      <c r="AA761" s="7">
        <v>19</v>
      </c>
      <c r="AB761" s="7">
        <v>0</v>
      </c>
      <c r="AC761" s="7">
        <v>0</v>
      </c>
      <c r="AD761" s="7">
        <v>0</v>
      </c>
      <c r="AE761" s="8"/>
      <c r="AF761" s="8"/>
      <c r="AG761" s="8"/>
    </row>
    <row r="762" spans="1:33" ht="12.3">
      <c r="A762" s="6" t="s">
        <v>427</v>
      </c>
      <c r="B762" s="6" t="s">
        <v>423</v>
      </c>
      <c r="C762" s="7">
        <v>2</v>
      </c>
      <c r="D762" s="7">
        <v>0</v>
      </c>
      <c r="E762" s="7">
        <v>1</v>
      </c>
      <c r="F762" s="7">
        <v>1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  <c r="R762" s="7">
        <v>0</v>
      </c>
      <c r="S762" s="7">
        <v>0</v>
      </c>
      <c r="T762" s="7">
        <v>0</v>
      </c>
      <c r="U762" s="7">
        <v>0</v>
      </c>
      <c r="V762" s="7">
        <v>1</v>
      </c>
      <c r="W762" s="7">
        <v>0</v>
      </c>
      <c r="X762" s="7">
        <v>0</v>
      </c>
      <c r="Y762" s="7">
        <v>0</v>
      </c>
      <c r="Z762" s="7">
        <v>0</v>
      </c>
      <c r="AA762" s="7">
        <v>1</v>
      </c>
      <c r="AB762" s="7">
        <v>0</v>
      </c>
      <c r="AC762" s="7">
        <v>0</v>
      </c>
      <c r="AD762" s="7">
        <v>0</v>
      </c>
      <c r="AE762" s="8"/>
      <c r="AF762" s="8"/>
      <c r="AG762" s="8"/>
    </row>
    <row r="763" spans="1:33" ht="12.3">
      <c r="A763" s="6" t="s">
        <v>427</v>
      </c>
      <c r="B763" s="6" t="s">
        <v>424</v>
      </c>
      <c r="C763" s="7">
        <v>2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 s="7">
        <v>0</v>
      </c>
      <c r="U763" s="7">
        <v>0</v>
      </c>
      <c r="V763" s="7">
        <v>0</v>
      </c>
      <c r="W763" s="7">
        <v>0</v>
      </c>
      <c r="X763" s="7">
        <v>0</v>
      </c>
      <c r="Y763" s="7">
        <v>0</v>
      </c>
      <c r="Z763" s="7">
        <v>0</v>
      </c>
      <c r="AA763" s="7">
        <v>0</v>
      </c>
      <c r="AB763" s="7">
        <v>0</v>
      </c>
      <c r="AC763" s="7">
        <v>0</v>
      </c>
      <c r="AD763" s="7">
        <v>0</v>
      </c>
      <c r="AE763" s="8"/>
      <c r="AF763" s="8"/>
      <c r="AG763" s="8"/>
    </row>
    <row r="764" spans="1:33" ht="12.3">
      <c r="A764" s="6" t="s">
        <v>428</v>
      </c>
      <c r="B764" s="6" t="s">
        <v>429</v>
      </c>
      <c r="C764" s="7">
        <v>6</v>
      </c>
      <c r="D764" s="7">
        <v>0</v>
      </c>
      <c r="E764" s="7">
        <v>3</v>
      </c>
      <c r="F764" s="7">
        <v>7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  <c r="R764" s="7">
        <v>0</v>
      </c>
      <c r="S764" s="7">
        <v>0</v>
      </c>
      <c r="T764" s="7">
        <v>0</v>
      </c>
      <c r="U764" s="7">
        <v>0</v>
      </c>
      <c r="V764" s="7">
        <v>7</v>
      </c>
      <c r="W764" s="7">
        <v>0</v>
      </c>
      <c r="X764" s="7">
        <v>0</v>
      </c>
      <c r="Y764" s="7">
        <v>0</v>
      </c>
      <c r="Z764" s="7">
        <v>2</v>
      </c>
      <c r="AA764" s="7">
        <v>5</v>
      </c>
      <c r="AB764" s="7">
        <v>0</v>
      </c>
      <c r="AC764" s="7">
        <v>0</v>
      </c>
      <c r="AD764" s="7">
        <v>0</v>
      </c>
      <c r="AE764" s="8"/>
      <c r="AF764" s="8"/>
      <c r="AG764" s="8"/>
    </row>
    <row r="765" spans="1:33" ht="12.3">
      <c r="A765" s="6" t="s">
        <v>428</v>
      </c>
      <c r="B765" s="6" t="s">
        <v>430</v>
      </c>
      <c r="C765" s="7">
        <v>6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 s="7">
        <v>0</v>
      </c>
      <c r="U765" s="7">
        <v>0</v>
      </c>
      <c r="V765" s="7">
        <v>0</v>
      </c>
      <c r="W765" s="7">
        <v>0</v>
      </c>
      <c r="X765" s="7">
        <v>0</v>
      </c>
      <c r="Y765" s="7">
        <v>0</v>
      </c>
      <c r="Z765" s="7">
        <v>0</v>
      </c>
      <c r="AA765" s="7">
        <v>0</v>
      </c>
      <c r="AB765" s="7">
        <v>0</v>
      </c>
      <c r="AC765" s="7">
        <v>0</v>
      </c>
      <c r="AD765" s="7">
        <v>0</v>
      </c>
      <c r="AE765" s="8"/>
      <c r="AF765" s="8"/>
      <c r="AG765" s="8"/>
    </row>
    <row r="766" spans="1:33" ht="12.3">
      <c r="A766" s="6" t="s">
        <v>428</v>
      </c>
      <c r="B766" s="6" t="s">
        <v>431</v>
      </c>
      <c r="C766" s="7">
        <v>6</v>
      </c>
      <c r="D766" s="7">
        <v>0</v>
      </c>
      <c r="E766" s="7">
        <v>1</v>
      </c>
      <c r="F766" s="7">
        <v>3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  <c r="R766" s="7">
        <v>0</v>
      </c>
      <c r="S766" s="7">
        <v>0</v>
      </c>
      <c r="T766" s="7">
        <v>0</v>
      </c>
      <c r="U766" s="7">
        <v>0</v>
      </c>
      <c r="V766" s="7">
        <v>3</v>
      </c>
      <c r="W766" s="7">
        <v>0</v>
      </c>
      <c r="X766" s="7">
        <v>0</v>
      </c>
      <c r="Y766" s="7">
        <v>0</v>
      </c>
      <c r="Z766" s="7">
        <v>2</v>
      </c>
      <c r="AA766" s="7">
        <v>1</v>
      </c>
      <c r="AB766" s="7">
        <v>0</v>
      </c>
      <c r="AC766" s="7">
        <v>0</v>
      </c>
      <c r="AD766" s="7">
        <v>0</v>
      </c>
      <c r="AE766" s="8"/>
      <c r="AF766" s="8"/>
      <c r="AG766" s="8"/>
    </row>
    <row r="767" spans="1:33" ht="12.3">
      <c r="A767" s="6" t="s">
        <v>432</v>
      </c>
      <c r="B767" s="6" t="s">
        <v>429</v>
      </c>
      <c r="C767" s="7">
        <v>4</v>
      </c>
      <c r="D767" s="7">
        <v>1</v>
      </c>
      <c r="E767" s="7">
        <v>3</v>
      </c>
      <c r="F767" s="7">
        <v>6</v>
      </c>
      <c r="G767" s="7">
        <v>1</v>
      </c>
      <c r="H767" s="7">
        <v>0</v>
      </c>
      <c r="I767" s="7">
        <v>0</v>
      </c>
      <c r="J767" s="7">
        <v>0</v>
      </c>
      <c r="K767" s="7">
        <v>1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5</v>
      </c>
      <c r="W767" s="7">
        <v>0</v>
      </c>
      <c r="X767" s="7">
        <v>0</v>
      </c>
      <c r="Y767" s="7">
        <v>0</v>
      </c>
      <c r="Z767" s="7">
        <v>0</v>
      </c>
      <c r="AA767" s="7">
        <v>5</v>
      </c>
      <c r="AB767" s="7">
        <v>0</v>
      </c>
      <c r="AC767" s="7">
        <v>0</v>
      </c>
      <c r="AD767" s="7">
        <v>0</v>
      </c>
      <c r="AE767" s="8"/>
      <c r="AF767" s="8"/>
      <c r="AG767" s="8"/>
    </row>
    <row r="768" spans="1:33" ht="12.3">
      <c r="A768" s="6" t="s">
        <v>432</v>
      </c>
      <c r="B768" s="6" t="s">
        <v>424</v>
      </c>
      <c r="C768" s="7">
        <v>6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0</v>
      </c>
      <c r="T768" s="7">
        <v>0</v>
      </c>
      <c r="U768" s="7">
        <v>0</v>
      </c>
      <c r="V768" s="7">
        <v>0</v>
      </c>
      <c r="W768" s="7">
        <v>0</v>
      </c>
      <c r="X768" s="7">
        <v>0</v>
      </c>
      <c r="Y768" s="7">
        <v>0</v>
      </c>
      <c r="Z768" s="7">
        <v>0</v>
      </c>
      <c r="AA768" s="7">
        <v>0</v>
      </c>
      <c r="AB768" s="7">
        <v>0</v>
      </c>
      <c r="AC768" s="7">
        <v>0</v>
      </c>
      <c r="AD768" s="7">
        <v>0</v>
      </c>
      <c r="AE768" s="8"/>
      <c r="AF768" s="8"/>
      <c r="AG768" s="8"/>
    </row>
    <row r="769" spans="1:33" ht="12.3">
      <c r="A769" s="6" t="s">
        <v>433</v>
      </c>
      <c r="B769" s="6" t="s">
        <v>429</v>
      </c>
      <c r="C769" s="7">
        <v>44</v>
      </c>
      <c r="D769" s="7">
        <v>0</v>
      </c>
      <c r="E769" s="7">
        <v>21</v>
      </c>
      <c r="F769" s="7">
        <v>22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0</v>
      </c>
      <c r="T769" s="7">
        <v>0</v>
      </c>
      <c r="U769" s="7">
        <v>0</v>
      </c>
      <c r="V769" s="7">
        <v>22</v>
      </c>
      <c r="W769" s="7">
        <v>0</v>
      </c>
      <c r="X769" s="7">
        <v>0</v>
      </c>
      <c r="Y769" s="7">
        <v>0</v>
      </c>
      <c r="Z769" s="7">
        <v>0</v>
      </c>
      <c r="AA769" s="7">
        <v>22</v>
      </c>
      <c r="AB769" s="7">
        <v>0</v>
      </c>
      <c r="AC769" s="7">
        <v>0</v>
      </c>
      <c r="AD769" s="7">
        <v>0</v>
      </c>
      <c r="AE769" s="8"/>
      <c r="AF769" s="8"/>
      <c r="AG769" s="8"/>
    </row>
    <row r="770" spans="1:33" ht="12.3">
      <c r="A770" s="6" t="s">
        <v>433</v>
      </c>
      <c r="B770" s="6" t="s">
        <v>424</v>
      </c>
      <c r="C770" s="7">
        <v>44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0</v>
      </c>
      <c r="T770" s="7">
        <v>0</v>
      </c>
      <c r="U770" s="7">
        <v>0</v>
      </c>
      <c r="V770" s="7">
        <v>0</v>
      </c>
      <c r="W770" s="7">
        <v>0</v>
      </c>
      <c r="X770" s="7">
        <v>0</v>
      </c>
      <c r="Y770" s="7">
        <v>0</v>
      </c>
      <c r="Z770" s="7">
        <v>0</v>
      </c>
      <c r="AA770" s="7">
        <v>0</v>
      </c>
      <c r="AB770" s="7">
        <v>0</v>
      </c>
      <c r="AC770" s="7">
        <v>0</v>
      </c>
      <c r="AD770" s="7">
        <v>0</v>
      </c>
      <c r="AE770" s="8"/>
      <c r="AF770" s="8"/>
      <c r="AG770" s="8"/>
    </row>
    <row r="771" spans="1:33" ht="12.3">
      <c r="A771" s="6" t="s">
        <v>434</v>
      </c>
      <c r="B771" s="6" t="s">
        <v>435</v>
      </c>
      <c r="C771" s="7">
        <v>2</v>
      </c>
      <c r="D771" s="7">
        <v>0</v>
      </c>
      <c r="E771" s="7">
        <v>1</v>
      </c>
      <c r="F771" s="7">
        <v>1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v>1</v>
      </c>
      <c r="W771" s="7">
        <v>0</v>
      </c>
      <c r="X771" s="7">
        <v>0</v>
      </c>
      <c r="Y771" s="7">
        <v>0</v>
      </c>
      <c r="Z771" s="7">
        <v>0</v>
      </c>
      <c r="AA771" s="7">
        <v>1</v>
      </c>
      <c r="AB771" s="7">
        <v>0</v>
      </c>
      <c r="AC771" s="7">
        <v>0</v>
      </c>
      <c r="AD771" s="7">
        <v>0</v>
      </c>
      <c r="AE771" s="8"/>
      <c r="AF771" s="8"/>
      <c r="AG771" s="8"/>
    </row>
    <row r="772" spans="1:33" ht="12.3">
      <c r="A772" s="6" t="s">
        <v>434</v>
      </c>
      <c r="B772" s="6" t="s">
        <v>424</v>
      </c>
      <c r="C772" s="7">
        <v>2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 s="7">
        <v>0</v>
      </c>
      <c r="AB772" s="7">
        <v>0</v>
      </c>
      <c r="AC772" s="7">
        <v>0</v>
      </c>
      <c r="AD772" s="7">
        <v>0</v>
      </c>
      <c r="AE772" s="8"/>
      <c r="AF772" s="8"/>
      <c r="AG772" s="8"/>
    </row>
    <row r="773" spans="1:33" ht="12.3">
      <c r="A773" s="6" t="s">
        <v>436</v>
      </c>
      <c r="B773" s="6" t="s">
        <v>435</v>
      </c>
      <c r="C773" s="7">
        <v>18</v>
      </c>
      <c r="D773" s="7">
        <v>1</v>
      </c>
      <c r="E773" s="7">
        <v>9</v>
      </c>
      <c r="F773" s="7">
        <v>21</v>
      </c>
      <c r="G773" s="7">
        <v>1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1</v>
      </c>
      <c r="S773" s="7">
        <v>0</v>
      </c>
      <c r="T773" s="7">
        <v>0</v>
      </c>
      <c r="U773" s="7">
        <v>0</v>
      </c>
      <c r="V773" s="7">
        <v>20</v>
      </c>
      <c r="W773" s="7">
        <v>0</v>
      </c>
      <c r="X773" s="7">
        <v>0</v>
      </c>
      <c r="Y773" s="7">
        <v>0</v>
      </c>
      <c r="Z773" s="7">
        <v>6</v>
      </c>
      <c r="AA773" s="7">
        <v>14</v>
      </c>
      <c r="AB773" s="7">
        <v>0</v>
      </c>
      <c r="AC773" s="7">
        <v>0</v>
      </c>
      <c r="AD773" s="7">
        <v>0</v>
      </c>
      <c r="AE773" s="8"/>
      <c r="AF773" s="8"/>
      <c r="AG773" s="8"/>
    </row>
    <row r="774" spans="1:33" ht="12.3">
      <c r="A774" s="6" t="s">
        <v>436</v>
      </c>
      <c r="B774" s="6" t="s">
        <v>424</v>
      </c>
      <c r="C774" s="7">
        <v>18</v>
      </c>
      <c r="D774" s="7">
        <v>1</v>
      </c>
      <c r="E774" s="7">
        <v>3</v>
      </c>
      <c r="F774" s="7">
        <v>6</v>
      </c>
      <c r="G774" s="7">
        <v>2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7">
        <v>2</v>
      </c>
      <c r="S774" s="7">
        <v>0</v>
      </c>
      <c r="T774" s="7">
        <v>0</v>
      </c>
      <c r="U774" s="7">
        <v>0</v>
      </c>
      <c r="V774" s="7">
        <v>4</v>
      </c>
      <c r="W774" s="7">
        <v>0</v>
      </c>
      <c r="X774" s="7">
        <v>0</v>
      </c>
      <c r="Y774" s="7">
        <v>0</v>
      </c>
      <c r="Z774" s="7">
        <v>0</v>
      </c>
      <c r="AA774" s="7">
        <v>1</v>
      </c>
      <c r="AB774" s="7">
        <v>0</v>
      </c>
      <c r="AC774" s="7">
        <v>0</v>
      </c>
      <c r="AD774" s="7">
        <v>0</v>
      </c>
      <c r="AE774" s="8"/>
      <c r="AF774" s="8"/>
      <c r="AG774" s="8"/>
    </row>
    <row r="775" spans="1:33" ht="12.3">
      <c r="A775" s="6" t="s">
        <v>437</v>
      </c>
      <c r="B775" s="6" t="s">
        <v>429</v>
      </c>
      <c r="C775" s="7">
        <v>6</v>
      </c>
      <c r="D775" s="7">
        <v>0</v>
      </c>
      <c r="E775" s="7">
        <v>3</v>
      </c>
      <c r="F775" s="7">
        <v>3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  <c r="R775" s="7">
        <v>0</v>
      </c>
      <c r="S775" s="7">
        <v>0</v>
      </c>
      <c r="T775" s="7">
        <v>0</v>
      </c>
      <c r="U775" s="7">
        <v>0</v>
      </c>
      <c r="V775" s="7">
        <v>3</v>
      </c>
      <c r="W775" s="7">
        <v>0</v>
      </c>
      <c r="X775" s="7">
        <v>0</v>
      </c>
      <c r="Y775" s="7">
        <v>0</v>
      </c>
      <c r="Z775" s="7">
        <v>0</v>
      </c>
      <c r="AA775" s="7">
        <v>3</v>
      </c>
      <c r="AB775" s="7">
        <v>0</v>
      </c>
      <c r="AC775" s="7">
        <v>0</v>
      </c>
      <c r="AD775" s="7">
        <v>0</v>
      </c>
      <c r="AE775" s="8"/>
      <c r="AF775" s="8"/>
      <c r="AG775" s="8"/>
    </row>
    <row r="776" spans="1:33" ht="12.3">
      <c r="A776" s="6" t="s">
        <v>437</v>
      </c>
      <c r="B776" s="6" t="s">
        <v>424</v>
      </c>
      <c r="C776" s="7">
        <v>6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  <c r="R776" s="7">
        <v>0</v>
      </c>
      <c r="S776" s="7">
        <v>0</v>
      </c>
      <c r="T776" s="7">
        <v>0</v>
      </c>
      <c r="U776" s="7">
        <v>0</v>
      </c>
      <c r="V776" s="7">
        <v>0</v>
      </c>
      <c r="W776" s="7">
        <v>0</v>
      </c>
      <c r="X776" s="7">
        <v>0</v>
      </c>
      <c r="Y776" s="7">
        <v>0</v>
      </c>
      <c r="Z776" s="7">
        <v>0</v>
      </c>
      <c r="AA776" s="7">
        <v>0</v>
      </c>
      <c r="AB776" s="7">
        <v>0</v>
      </c>
      <c r="AC776" s="7">
        <v>0</v>
      </c>
      <c r="AD776" s="7">
        <v>0</v>
      </c>
      <c r="AE776" s="8"/>
      <c r="AF776" s="8"/>
      <c r="AG776" s="8"/>
    </row>
    <row r="777" spans="1:33" ht="12.3">
      <c r="A777" s="6" t="s">
        <v>438</v>
      </c>
      <c r="B777" s="6" t="s">
        <v>424</v>
      </c>
      <c r="C777" s="7">
        <v>30</v>
      </c>
      <c r="D777" s="7">
        <v>0</v>
      </c>
      <c r="E777" s="7">
        <v>8</v>
      </c>
      <c r="F777" s="7">
        <v>8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  <c r="R777" s="7">
        <v>0</v>
      </c>
      <c r="S777" s="7">
        <v>0</v>
      </c>
      <c r="T777" s="7">
        <v>0</v>
      </c>
      <c r="U777" s="7">
        <v>0</v>
      </c>
      <c r="V777" s="7">
        <v>8</v>
      </c>
      <c r="W777" s="7">
        <v>0</v>
      </c>
      <c r="X777" s="7">
        <v>0</v>
      </c>
      <c r="Y777" s="7">
        <v>0</v>
      </c>
      <c r="Z777" s="7">
        <v>0</v>
      </c>
      <c r="AA777" s="7">
        <v>8</v>
      </c>
      <c r="AB777" s="7">
        <v>0</v>
      </c>
      <c r="AC777" s="7">
        <v>0</v>
      </c>
      <c r="AD777" s="7">
        <v>0</v>
      </c>
      <c r="AE777" s="8"/>
      <c r="AF777" s="8"/>
      <c r="AG777" s="8"/>
    </row>
    <row r="778" spans="1:33" ht="12.3">
      <c r="A778" s="6" t="s">
        <v>439</v>
      </c>
      <c r="B778" s="6" t="s">
        <v>429</v>
      </c>
      <c r="C778" s="7">
        <v>12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  <c r="R778" s="7">
        <v>0</v>
      </c>
      <c r="S778" s="7">
        <v>0</v>
      </c>
      <c r="T778" s="7">
        <v>0</v>
      </c>
      <c r="U778" s="7">
        <v>0</v>
      </c>
      <c r="V778" s="7">
        <v>0</v>
      </c>
      <c r="W778" s="7">
        <v>0</v>
      </c>
      <c r="X778" s="7">
        <v>0</v>
      </c>
      <c r="Y778" s="7">
        <v>0</v>
      </c>
      <c r="Z778" s="7">
        <v>0</v>
      </c>
      <c r="AA778" s="7">
        <v>0</v>
      </c>
      <c r="AB778" s="7">
        <v>0</v>
      </c>
      <c r="AC778" s="7">
        <v>0</v>
      </c>
      <c r="AD778" s="7">
        <v>0</v>
      </c>
      <c r="AE778" s="8"/>
      <c r="AF778" s="8"/>
      <c r="AG778" s="8"/>
    </row>
    <row r="779" spans="1:33" ht="12.3">
      <c r="A779" s="6" t="s">
        <v>439</v>
      </c>
      <c r="B779" s="6" t="s">
        <v>424</v>
      </c>
      <c r="C779" s="7">
        <v>12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  <c r="R779" s="7">
        <v>0</v>
      </c>
      <c r="S779" s="7">
        <v>0</v>
      </c>
      <c r="T779" s="7">
        <v>0</v>
      </c>
      <c r="U779" s="7">
        <v>0</v>
      </c>
      <c r="V779" s="7">
        <v>0</v>
      </c>
      <c r="W779" s="7">
        <v>0</v>
      </c>
      <c r="X779" s="7">
        <v>0</v>
      </c>
      <c r="Y779" s="7">
        <v>0</v>
      </c>
      <c r="Z779" s="7">
        <v>0</v>
      </c>
      <c r="AA779" s="7">
        <v>0</v>
      </c>
      <c r="AB779" s="7">
        <v>0</v>
      </c>
      <c r="AC779" s="7">
        <v>0</v>
      </c>
      <c r="AD779" s="7">
        <v>0</v>
      </c>
      <c r="AE779" s="8"/>
      <c r="AF779" s="8"/>
      <c r="AG779" s="8"/>
    </row>
    <row r="780" spans="1:33" ht="12.3">
      <c r="A780" s="6" t="s">
        <v>440</v>
      </c>
      <c r="B780" s="6" t="s">
        <v>435</v>
      </c>
      <c r="C780" s="7">
        <v>6</v>
      </c>
      <c r="D780" s="7">
        <v>0</v>
      </c>
      <c r="E780" s="7">
        <v>3</v>
      </c>
      <c r="F780" s="7">
        <v>4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7">
        <v>0</v>
      </c>
      <c r="S780" s="7">
        <v>0</v>
      </c>
      <c r="T780" s="7">
        <v>0</v>
      </c>
      <c r="U780" s="7">
        <v>0</v>
      </c>
      <c r="V780" s="7">
        <v>4</v>
      </c>
      <c r="W780" s="7">
        <v>0</v>
      </c>
      <c r="X780" s="7">
        <v>0</v>
      </c>
      <c r="Y780" s="7">
        <v>0</v>
      </c>
      <c r="Z780" s="7">
        <v>0</v>
      </c>
      <c r="AA780" s="7">
        <v>3</v>
      </c>
      <c r="AB780" s="7">
        <v>0</v>
      </c>
      <c r="AC780" s="7">
        <v>0</v>
      </c>
      <c r="AD780" s="7">
        <v>0</v>
      </c>
      <c r="AE780" s="8"/>
      <c r="AF780" s="8"/>
      <c r="AG780" s="8"/>
    </row>
    <row r="781" spans="1:33" ht="12.3">
      <c r="A781" s="6" t="s">
        <v>440</v>
      </c>
      <c r="B781" s="6" t="s">
        <v>424</v>
      </c>
      <c r="C781" s="7">
        <v>6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7">
        <v>0</v>
      </c>
      <c r="S781" s="7">
        <v>0</v>
      </c>
      <c r="T781" s="7">
        <v>0</v>
      </c>
      <c r="U781" s="7">
        <v>0</v>
      </c>
      <c r="V781" s="7">
        <v>0</v>
      </c>
      <c r="W781" s="7">
        <v>0</v>
      </c>
      <c r="X781" s="7">
        <v>0</v>
      </c>
      <c r="Y781" s="7">
        <v>0</v>
      </c>
      <c r="Z781" s="7">
        <v>0</v>
      </c>
      <c r="AA781" s="7">
        <v>0</v>
      </c>
      <c r="AB781" s="7">
        <v>0</v>
      </c>
      <c r="AC781" s="7">
        <v>0</v>
      </c>
      <c r="AD781" s="7">
        <v>0</v>
      </c>
      <c r="AE781" s="8"/>
      <c r="AF781" s="8"/>
      <c r="AG781" s="8"/>
    </row>
    <row r="782" spans="1:33" ht="12.3">
      <c r="A782" s="6" t="s">
        <v>441</v>
      </c>
      <c r="B782" s="6" t="s">
        <v>442</v>
      </c>
      <c r="C782" s="7">
        <v>10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7">
        <v>0</v>
      </c>
      <c r="S782" s="7">
        <v>0</v>
      </c>
      <c r="T782" s="7">
        <v>0</v>
      </c>
      <c r="U782" s="7">
        <v>0</v>
      </c>
      <c r="V782" s="7">
        <v>0</v>
      </c>
      <c r="W782" s="7">
        <v>0</v>
      </c>
      <c r="X782" s="7">
        <v>0</v>
      </c>
      <c r="Y782" s="7">
        <v>0</v>
      </c>
      <c r="Z782" s="7">
        <v>0</v>
      </c>
      <c r="AA782" s="7">
        <v>0</v>
      </c>
      <c r="AB782" s="7">
        <v>0</v>
      </c>
      <c r="AC782" s="7">
        <v>0</v>
      </c>
      <c r="AD782" s="7">
        <v>0</v>
      </c>
      <c r="AE782" s="8"/>
      <c r="AF782" s="8"/>
      <c r="AG782" s="8"/>
    </row>
    <row r="783" spans="1:33" ht="12.3">
      <c r="A783" s="6" t="s">
        <v>443</v>
      </c>
      <c r="B783" s="6" t="s">
        <v>444</v>
      </c>
      <c r="C783" s="7">
        <v>102</v>
      </c>
      <c r="D783" s="7">
        <v>0</v>
      </c>
      <c r="E783" s="7">
        <v>48</v>
      </c>
      <c r="F783" s="7">
        <v>292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7">
        <v>0</v>
      </c>
      <c r="S783" s="7">
        <v>0</v>
      </c>
      <c r="T783" s="7">
        <v>0</v>
      </c>
      <c r="U783" s="7">
        <v>0</v>
      </c>
      <c r="V783" s="7">
        <v>292</v>
      </c>
      <c r="W783" s="7">
        <v>0</v>
      </c>
      <c r="X783" s="7">
        <v>0</v>
      </c>
      <c r="Y783" s="7">
        <v>0</v>
      </c>
      <c r="Z783" s="7">
        <v>0</v>
      </c>
      <c r="AA783" s="7">
        <v>0</v>
      </c>
      <c r="AB783" s="7">
        <v>0</v>
      </c>
      <c r="AC783" s="7">
        <v>0</v>
      </c>
      <c r="AD783" s="7">
        <v>0</v>
      </c>
      <c r="AE783" s="8"/>
      <c r="AF783" s="8"/>
      <c r="AG783" s="8"/>
    </row>
    <row r="784" spans="1:33" ht="12.3">
      <c r="A784" s="6" t="s">
        <v>443</v>
      </c>
      <c r="B784" s="6" t="s">
        <v>445</v>
      </c>
      <c r="C784" s="7">
        <v>102</v>
      </c>
      <c r="D784" s="7">
        <v>0</v>
      </c>
      <c r="E784" s="7">
        <v>22</v>
      </c>
      <c r="F784" s="7">
        <v>25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25</v>
      </c>
      <c r="W784" s="7">
        <v>0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8"/>
      <c r="AF784" s="8"/>
      <c r="AG784" s="8"/>
    </row>
    <row r="785" spans="1:33" ht="12.3">
      <c r="A785" s="6" t="s">
        <v>443</v>
      </c>
      <c r="B785" s="6" t="s">
        <v>446</v>
      </c>
      <c r="C785" s="7">
        <v>104</v>
      </c>
      <c r="D785" s="7">
        <v>0</v>
      </c>
      <c r="E785" s="7">
        <v>24</v>
      </c>
      <c r="F785" s="7">
        <v>27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7">
        <v>0</v>
      </c>
      <c r="S785" s="7">
        <v>0</v>
      </c>
      <c r="T785" s="7">
        <v>0</v>
      </c>
      <c r="U785" s="7">
        <v>0</v>
      </c>
      <c r="V785" s="7">
        <v>27</v>
      </c>
      <c r="W785" s="7">
        <v>0</v>
      </c>
      <c r="X785" s="7">
        <v>0</v>
      </c>
      <c r="Y785" s="7">
        <v>0</v>
      </c>
      <c r="Z785" s="7">
        <v>0</v>
      </c>
      <c r="AA785" s="7">
        <v>0</v>
      </c>
      <c r="AB785" s="7">
        <v>0</v>
      </c>
      <c r="AC785" s="7">
        <v>0</v>
      </c>
      <c r="AD785" s="7">
        <v>0</v>
      </c>
      <c r="AE785" s="8"/>
      <c r="AF785" s="8"/>
      <c r="AG785" s="8"/>
    </row>
    <row r="786" spans="1:33" ht="12.3">
      <c r="A786" s="6" t="s">
        <v>443</v>
      </c>
      <c r="B786" s="6" t="s">
        <v>447</v>
      </c>
      <c r="C786" s="7">
        <v>108</v>
      </c>
      <c r="D786" s="7">
        <v>0</v>
      </c>
      <c r="E786" s="7">
        <v>23</v>
      </c>
      <c r="F786" s="7">
        <v>26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7">
        <v>0</v>
      </c>
      <c r="S786" s="7">
        <v>0</v>
      </c>
      <c r="T786" s="7">
        <v>0</v>
      </c>
      <c r="U786" s="7">
        <v>0</v>
      </c>
      <c r="V786" s="7">
        <v>26</v>
      </c>
      <c r="W786" s="7">
        <v>0</v>
      </c>
      <c r="X786" s="7">
        <v>0</v>
      </c>
      <c r="Y786" s="7">
        <v>0</v>
      </c>
      <c r="Z786" s="7">
        <v>0</v>
      </c>
      <c r="AA786" s="7">
        <v>0</v>
      </c>
      <c r="AB786" s="7">
        <v>0</v>
      </c>
      <c r="AC786" s="7">
        <v>0</v>
      </c>
      <c r="AD786" s="7">
        <v>0</v>
      </c>
      <c r="AE786" s="8"/>
      <c r="AF786" s="8"/>
      <c r="AG786" s="8"/>
    </row>
  </sheetData>
  <mergeCells count="4">
    <mergeCell ref="C1:E1"/>
    <mergeCell ref="F1:AD1"/>
    <mergeCell ref="A1:A2"/>
    <mergeCell ref="B1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8B79-F074-45C2-840F-25232D7BAC55}">
  <sheetPr codeName="Sheet14"/>
  <dimension ref="A1:H226"/>
  <sheetViews>
    <sheetView zoomScale="85" zoomScaleNormal="85" workbookViewId="0">
      <selection activeCell="H5" sqref="H5"/>
    </sheetView>
  </sheetViews>
  <sheetFormatPr defaultColWidth="8.83203125" defaultRowHeight="12.3"/>
  <cols>
    <col min="1" max="1" width="56" style="57" bestFit="1" customWidth="1"/>
    <col min="2" max="2" width="21" style="57" bestFit="1" customWidth="1"/>
    <col min="3" max="3" width="10.71875" style="57" bestFit="1" customWidth="1"/>
    <col min="4" max="4" width="16.27734375" style="57" bestFit="1" customWidth="1"/>
    <col min="5" max="5" width="22.71875" style="57" bestFit="1" customWidth="1"/>
    <col min="6" max="7" width="25.27734375" style="57" bestFit="1" customWidth="1"/>
    <col min="8" max="8" width="24" style="57" bestFit="1" customWidth="1"/>
    <col min="9" max="10" width="8.83203125" style="57"/>
    <col min="11" max="11" width="18.5546875" style="57" bestFit="1" customWidth="1"/>
    <col min="12" max="12" width="15.5546875" style="57" bestFit="1" customWidth="1"/>
    <col min="13" max="13" width="12.27734375" style="57" bestFit="1" customWidth="1"/>
    <col min="14" max="14" width="24.44140625" style="57" bestFit="1" customWidth="1"/>
    <col min="15" max="16384" width="8.83203125" style="57"/>
  </cols>
  <sheetData>
    <row r="1" spans="1:8">
      <c r="A1" s="21" t="s">
        <v>0</v>
      </c>
      <c r="B1" s="23" t="s">
        <v>491</v>
      </c>
      <c r="C1" s="22" t="s">
        <v>492</v>
      </c>
      <c r="D1" s="75"/>
      <c r="E1" s="24" t="s">
        <v>456</v>
      </c>
      <c r="F1" s="24" t="s">
        <v>458</v>
      </c>
      <c r="G1" s="24" t="s">
        <v>448</v>
      </c>
      <c r="H1" s="24" t="s">
        <v>457</v>
      </c>
    </row>
    <row r="2" spans="1:8">
      <c r="A2" s="6" t="s">
        <v>1</v>
      </c>
      <c r="B2" s="57">
        <v>1</v>
      </c>
      <c r="C2" s="57">
        <f>IF(B2=0, 0, 1)</f>
        <v>1</v>
      </c>
      <c r="E2" s="25">
        <v>225</v>
      </c>
      <c r="F2" s="25">
        <f>E2-G2</f>
        <v>68</v>
      </c>
      <c r="G2" s="25">
        <f>SUM(C2:C226)</f>
        <v>157</v>
      </c>
      <c r="H2" s="26">
        <f>G2/E2</f>
        <v>0.69777777777777783</v>
      </c>
    </row>
    <row r="3" spans="1:8">
      <c r="A3" s="6" t="s">
        <v>3</v>
      </c>
      <c r="B3" s="57">
        <v>0</v>
      </c>
      <c r="C3" s="57">
        <f t="shared" ref="C3:C66" si="0">IF(B3=0, 0, 1)</f>
        <v>0</v>
      </c>
    </row>
    <row r="4" spans="1:8">
      <c r="A4" s="6" t="s">
        <v>5</v>
      </c>
      <c r="B4" s="57">
        <v>0</v>
      </c>
      <c r="C4" s="57">
        <f t="shared" si="0"/>
        <v>0</v>
      </c>
    </row>
    <row r="5" spans="1:8">
      <c r="A5" s="6" t="s">
        <v>7</v>
      </c>
      <c r="B5" s="57">
        <v>70</v>
      </c>
      <c r="C5" s="57">
        <f t="shared" si="0"/>
        <v>1</v>
      </c>
    </row>
    <row r="6" spans="1:8">
      <c r="A6" s="6" t="s">
        <v>10</v>
      </c>
      <c r="B6" s="57">
        <v>0</v>
      </c>
      <c r="C6" s="57">
        <f t="shared" si="0"/>
        <v>0</v>
      </c>
    </row>
    <row r="7" spans="1:8">
      <c r="A7" s="6" t="s">
        <v>11</v>
      </c>
      <c r="B7" s="57">
        <v>0</v>
      </c>
      <c r="C7" s="57">
        <f t="shared" si="0"/>
        <v>0</v>
      </c>
    </row>
    <row r="8" spans="1:8">
      <c r="A8" s="6" t="s">
        <v>12</v>
      </c>
      <c r="B8" s="57">
        <v>8</v>
      </c>
      <c r="C8" s="57">
        <f t="shared" si="0"/>
        <v>1</v>
      </c>
    </row>
    <row r="9" spans="1:8">
      <c r="A9" s="6" t="s">
        <v>13</v>
      </c>
      <c r="B9" s="57">
        <v>7</v>
      </c>
      <c r="C9" s="57">
        <f t="shared" si="0"/>
        <v>1</v>
      </c>
    </row>
    <row r="10" spans="1:8">
      <c r="A10" s="6" t="s">
        <v>14</v>
      </c>
      <c r="B10" s="57">
        <v>0</v>
      </c>
      <c r="C10" s="57">
        <f t="shared" si="0"/>
        <v>0</v>
      </c>
    </row>
    <row r="11" spans="1:8">
      <c r="A11" s="6" t="s">
        <v>15</v>
      </c>
      <c r="B11" s="57">
        <v>9</v>
      </c>
      <c r="C11" s="57">
        <f t="shared" si="0"/>
        <v>1</v>
      </c>
    </row>
    <row r="12" spans="1:8">
      <c r="A12" s="6" t="s">
        <v>18</v>
      </c>
      <c r="B12" s="57">
        <v>89</v>
      </c>
      <c r="C12" s="57">
        <f t="shared" si="0"/>
        <v>1</v>
      </c>
    </row>
    <row r="13" spans="1:8">
      <c r="A13" s="6" t="s">
        <v>20</v>
      </c>
      <c r="B13" s="57">
        <v>17</v>
      </c>
      <c r="C13" s="57">
        <f t="shared" si="0"/>
        <v>1</v>
      </c>
    </row>
    <row r="14" spans="1:8">
      <c r="A14" s="6" t="s">
        <v>21</v>
      </c>
      <c r="B14" s="57">
        <v>0</v>
      </c>
      <c r="C14" s="57">
        <f t="shared" si="0"/>
        <v>0</v>
      </c>
    </row>
    <row r="15" spans="1:8">
      <c r="A15" s="6" t="s">
        <v>22</v>
      </c>
      <c r="B15" s="57">
        <v>2</v>
      </c>
      <c r="C15" s="57">
        <f t="shared" si="0"/>
        <v>1</v>
      </c>
    </row>
    <row r="16" spans="1:8">
      <c r="A16" s="6" t="s">
        <v>23</v>
      </c>
      <c r="B16" s="57">
        <v>14</v>
      </c>
      <c r="C16" s="57">
        <f t="shared" si="0"/>
        <v>1</v>
      </c>
    </row>
    <row r="17" spans="1:3">
      <c r="A17" s="6" t="s">
        <v>24</v>
      </c>
      <c r="B17" s="57">
        <v>8</v>
      </c>
      <c r="C17" s="57">
        <f t="shared" si="0"/>
        <v>1</v>
      </c>
    </row>
    <row r="18" spans="1:3">
      <c r="A18" s="6" t="s">
        <v>25</v>
      </c>
      <c r="B18" s="57">
        <v>9</v>
      </c>
      <c r="C18" s="57">
        <f t="shared" si="0"/>
        <v>1</v>
      </c>
    </row>
    <row r="19" spans="1:3">
      <c r="A19" s="6" t="s">
        <v>26</v>
      </c>
      <c r="B19" s="57">
        <v>1</v>
      </c>
      <c r="C19" s="57">
        <f t="shared" si="0"/>
        <v>1</v>
      </c>
    </row>
    <row r="20" spans="1:3">
      <c r="A20" s="6" t="s">
        <v>27</v>
      </c>
      <c r="B20" s="57">
        <v>5</v>
      </c>
      <c r="C20" s="57">
        <f t="shared" si="0"/>
        <v>1</v>
      </c>
    </row>
    <row r="21" spans="1:3">
      <c r="A21" s="6" t="s">
        <v>28</v>
      </c>
      <c r="B21" s="57">
        <v>5</v>
      </c>
      <c r="C21" s="57">
        <f t="shared" si="0"/>
        <v>1</v>
      </c>
    </row>
    <row r="22" spans="1:3">
      <c r="A22" s="6" t="s">
        <v>29</v>
      </c>
      <c r="B22" s="57">
        <v>8</v>
      </c>
      <c r="C22" s="57">
        <f t="shared" si="0"/>
        <v>1</v>
      </c>
    </row>
    <row r="23" spans="1:3">
      <c r="A23" s="6" t="s">
        <v>30</v>
      </c>
      <c r="B23" s="57">
        <v>1</v>
      </c>
      <c r="C23" s="57">
        <f t="shared" si="0"/>
        <v>1</v>
      </c>
    </row>
    <row r="24" spans="1:3">
      <c r="A24" s="6" t="s">
        <v>31</v>
      </c>
      <c r="B24" s="57">
        <v>0</v>
      </c>
      <c r="C24" s="57">
        <f t="shared" si="0"/>
        <v>0</v>
      </c>
    </row>
    <row r="25" spans="1:3">
      <c r="A25" s="6" t="s">
        <v>32</v>
      </c>
      <c r="B25" s="57">
        <v>25</v>
      </c>
      <c r="C25" s="57">
        <f t="shared" si="0"/>
        <v>1</v>
      </c>
    </row>
    <row r="26" spans="1:3">
      <c r="A26" s="6" t="s">
        <v>33</v>
      </c>
      <c r="B26" s="57">
        <v>1</v>
      </c>
      <c r="C26" s="57">
        <f t="shared" si="0"/>
        <v>1</v>
      </c>
    </row>
    <row r="27" spans="1:3">
      <c r="A27" s="6" t="s">
        <v>34</v>
      </c>
      <c r="B27" s="57">
        <v>1</v>
      </c>
      <c r="C27" s="57">
        <f t="shared" si="0"/>
        <v>1</v>
      </c>
    </row>
    <row r="28" spans="1:3">
      <c r="A28" s="6" t="s">
        <v>35</v>
      </c>
      <c r="B28" s="57">
        <v>0</v>
      </c>
      <c r="C28" s="57">
        <f t="shared" si="0"/>
        <v>0</v>
      </c>
    </row>
    <row r="29" spans="1:3">
      <c r="A29" s="6" t="s">
        <v>36</v>
      </c>
      <c r="B29" s="57">
        <v>0</v>
      </c>
      <c r="C29" s="57">
        <f t="shared" si="0"/>
        <v>0</v>
      </c>
    </row>
    <row r="30" spans="1:3">
      <c r="A30" s="6" t="s">
        <v>37</v>
      </c>
      <c r="B30" s="57">
        <v>148</v>
      </c>
      <c r="C30" s="57">
        <f t="shared" si="0"/>
        <v>1</v>
      </c>
    </row>
    <row r="31" spans="1:3">
      <c r="A31" s="6" t="s">
        <v>38</v>
      </c>
      <c r="B31" s="57">
        <v>13</v>
      </c>
      <c r="C31" s="57">
        <f t="shared" si="0"/>
        <v>1</v>
      </c>
    </row>
    <row r="32" spans="1:3">
      <c r="A32" s="6" t="s">
        <v>39</v>
      </c>
      <c r="B32" s="57">
        <v>3</v>
      </c>
      <c r="C32" s="57">
        <f t="shared" si="0"/>
        <v>1</v>
      </c>
    </row>
    <row r="33" spans="1:3">
      <c r="A33" s="6" t="s">
        <v>40</v>
      </c>
      <c r="B33" s="57">
        <v>46</v>
      </c>
      <c r="C33" s="57">
        <f t="shared" si="0"/>
        <v>1</v>
      </c>
    </row>
    <row r="34" spans="1:3">
      <c r="A34" s="6" t="s">
        <v>41</v>
      </c>
      <c r="B34" s="57">
        <v>101</v>
      </c>
      <c r="C34" s="57">
        <f t="shared" si="0"/>
        <v>1</v>
      </c>
    </row>
    <row r="35" spans="1:3">
      <c r="A35" s="6" t="s">
        <v>42</v>
      </c>
      <c r="B35" s="57">
        <v>14</v>
      </c>
      <c r="C35" s="57">
        <f t="shared" si="0"/>
        <v>1</v>
      </c>
    </row>
    <row r="36" spans="1:3">
      <c r="A36" s="6" t="s">
        <v>43</v>
      </c>
      <c r="B36" s="57">
        <v>0</v>
      </c>
      <c r="C36" s="57">
        <f t="shared" si="0"/>
        <v>0</v>
      </c>
    </row>
    <row r="37" spans="1:3">
      <c r="A37" s="6" t="s">
        <v>44</v>
      </c>
      <c r="B37" s="57">
        <v>25</v>
      </c>
      <c r="C37" s="57">
        <f t="shared" si="0"/>
        <v>1</v>
      </c>
    </row>
    <row r="38" spans="1:3">
      <c r="A38" s="6" t="s">
        <v>47</v>
      </c>
      <c r="B38" s="57">
        <v>10</v>
      </c>
      <c r="C38" s="57">
        <f t="shared" si="0"/>
        <v>1</v>
      </c>
    </row>
    <row r="39" spans="1:3">
      <c r="A39" s="6" t="s">
        <v>49</v>
      </c>
      <c r="B39" s="57">
        <v>0</v>
      </c>
      <c r="C39" s="57">
        <f t="shared" si="0"/>
        <v>0</v>
      </c>
    </row>
    <row r="40" spans="1:3">
      <c r="A40" s="6" t="s">
        <v>51</v>
      </c>
      <c r="B40" s="57">
        <v>3</v>
      </c>
      <c r="C40" s="57">
        <f t="shared" si="0"/>
        <v>1</v>
      </c>
    </row>
    <row r="41" spans="1:3">
      <c r="A41" s="6" t="s">
        <v>53</v>
      </c>
      <c r="B41" s="57">
        <v>7</v>
      </c>
      <c r="C41" s="57">
        <f t="shared" si="0"/>
        <v>1</v>
      </c>
    </row>
    <row r="42" spans="1:3">
      <c r="A42" s="6" t="s">
        <v>57</v>
      </c>
      <c r="B42" s="57">
        <v>2</v>
      </c>
      <c r="C42" s="57">
        <f t="shared" si="0"/>
        <v>1</v>
      </c>
    </row>
    <row r="43" spans="1:3">
      <c r="A43" s="6" t="s">
        <v>59</v>
      </c>
      <c r="B43" s="57">
        <v>8</v>
      </c>
      <c r="C43" s="57">
        <f t="shared" si="0"/>
        <v>1</v>
      </c>
    </row>
    <row r="44" spans="1:3">
      <c r="A44" s="6" t="s">
        <v>60</v>
      </c>
      <c r="B44" s="57">
        <v>5</v>
      </c>
      <c r="C44" s="57">
        <f t="shared" si="0"/>
        <v>1</v>
      </c>
    </row>
    <row r="45" spans="1:3">
      <c r="A45" s="6" t="s">
        <v>61</v>
      </c>
      <c r="B45" s="57">
        <v>92</v>
      </c>
      <c r="C45" s="57">
        <f t="shared" si="0"/>
        <v>1</v>
      </c>
    </row>
    <row r="46" spans="1:3">
      <c r="A46" s="6" t="s">
        <v>63</v>
      </c>
      <c r="B46" s="57">
        <v>18</v>
      </c>
      <c r="C46" s="57">
        <f t="shared" si="0"/>
        <v>1</v>
      </c>
    </row>
    <row r="47" spans="1:3">
      <c r="A47" s="6" t="s">
        <v>65</v>
      </c>
      <c r="B47" s="57">
        <v>0</v>
      </c>
      <c r="C47" s="57">
        <f t="shared" si="0"/>
        <v>0</v>
      </c>
    </row>
    <row r="48" spans="1:3">
      <c r="A48" s="6" t="s">
        <v>67</v>
      </c>
      <c r="B48" s="57">
        <v>9</v>
      </c>
      <c r="C48" s="57">
        <f t="shared" si="0"/>
        <v>1</v>
      </c>
    </row>
    <row r="49" spans="1:3">
      <c r="A49" s="6" t="s">
        <v>68</v>
      </c>
      <c r="B49" s="57">
        <v>9</v>
      </c>
      <c r="C49" s="57">
        <f t="shared" si="0"/>
        <v>1</v>
      </c>
    </row>
    <row r="50" spans="1:3">
      <c r="A50" s="6" t="s">
        <v>69</v>
      </c>
      <c r="B50" s="57">
        <v>0</v>
      </c>
      <c r="C50" s="57">
        <f t="shared" si="0"/>
        <v>0</v>
      </c>
    </row>
    <row r="51" spans="1:3">
      <c r="A51" s="6" t="s">
        <v>71</v>
      </c>
      <c r="B51" s="57">
        <v>24</v>
      </c>
      <c r="C51" s="57">
        <f t="shared" si="0"/>
        <v>1</v>
      </c>
    </row>
    <row r="52" spans="1:3">
      <c r="A52" s="6" t="s">
        <v>73</v>
      </c>
      <c r="B52" s="57">
        <v>8</v>
      </c>
      <c r="C52" s="57">
        <f t="shared" si="0"/>
        <v>1</v>
      </c>
    </row>
    <row r="53" spans="1:3">
      <c r="A53" s="6" t="s">
        <v>75</v>
      </c>
      <c r="B53" s="57">
        <v>4</v>
      </c>
      <c r="C53" s="57">
        <f t="shared" si="0"/>
        <v>1</v>
      </c>
    </row>
    <row r="54" spans="1:3">
      <c r="A54" s="6" t="s">
        <v>77</v>
      </c>
      <c r="B54" s="57">
        <v>1</v>
      </c>
      <c r="C54" s="57">
        <f t="shared" si="0"/>
        <v>1</v>
      </c>
    </row>
    <row r="55" spans="1:3">
      <c r="A55" s="6" t="s">
        <v>78</v>
      </c>
      <c r="B55" s="57">
        <v>12</v>
      </c>
      <c r="C55" s="57">
        <f t="shared" si="0"/>
        <v>1</v>
      </c>
    </row>
    <row r="56" spans="1:3">
      <c r="A56" s="6" t="s">
        <v>81</v>
      </c>
      <c r="B56" s="57">
        <v>30</v>
      </c>
      <c r="C56" s="57">
        <f t="shared" si="0"/>
        <v>1</v>
      </c>
    </row>
    <row r="57" spans="1:3">
      <c r="A57" s="6" t="s">
        <v>85</v>
      </c>
      <c r="B57" s="57">
        <v>25</v>
      </c>
      <c r="C57" s="57">
        <f t="shared" si="0"/>
        <v>1</v>
      </c>
    </row>
    <row r="58" spans="1:3">
      <c r="A58" s="6" t="s">
        <v>87</v>
      </c>
      <c r="B58" s="57">
        <v>1</v>
      </c>
      <c r="C58" s="57">
        <f t="shared" si="0"/>
        <v>1</v>
      </c>
    </row>
    <row r="59" spans="1:3">
      <c r="A59" s="6" t="s">
        <v>89</v>
      </c>
      <c r="B59" s="57">
        <v>38</v>
      </c>
      <c r="C59" s="57">
        <f t="shared" si="0"/>
        <v>1</v>
      </c>
    </row>
    <row r="60" spans="1:3">
      <c r="A60" s="6" t="s">
        <v>93</v>
      </c>
      <c r="B60" s="57">
        <v>40</v>
      </c>
      <c r="C60" s="57">
        <f t="shared" si="0"/>
        <v>1</v>
      </c>
    </row>
    <row r="61" spans="1:3">
      <c r="A61" s="6" t="s">
        <v>95</v>
      </c>
      <c r="B61" s="57">
        <v>87</v>
      </c>
      <c r="C61" s="57">
        <f t="shared" si="0"/>
        <v>1</v>
      </c>
    </row>
    <row r="62" spans="1:3">
      <c r="A62" s="6" t="s">
        <v>100</v>
      </c>
      <c r="B62" s="57">
        <v>53</v>
      </c>
      <c r="C62" s="57">
        <f t="shared" si="0"/>
        <v>1</v>
      </c>
    </row>
    <row r="63" spans="1:3">
      <c r="A63" s="6" t="s">
        <v>104</v>
      </c>
      <c r="B63" s="57">
        <v>29</v>
      </c>
      <c r="C63" s="57">
        <f t="shared" si="0"/>
        <v>1</v>
      </c>
    </row>
    <row r="64" spans="1:3">
      <c r="A64" s="6" t="s">
        <v>106</v>
      </c>
      <c r="B64" s="57">
        <v>1</v>
      </c>
      <c r="C64" s="57">
        <f t="shared" si="0"/>
        <v>1</v>
      </c>
    </row>
    <row r="65" spans="1:3">
      <c r="A65" s="6" t="s">
        <v>109</v>
      </c>
      <c r="B65" s="57">
        <v>34</v>
      </c>
      <c r="C65" s="57">
        <f t="shared" si="0"/>
        <v>1</v>
      </c>
    </row>
    <row r="66" spans="1:3">
      <c r="A66" s="6" t="s">
        <v>115</v>
      </c>
      <c r="B66" s="57">
        <v>0</v>
      </c>
      <c r="C66" s="57">
        <f t="shared" si="0"/>
        <v>0</v>
      </c>
    </row>
    <row r="67" spans="1:3">
      <c r="A67" s="6" t="s">
        <v>119</v>
      </c>
      <c r="B67" s="57">
        <v>1</v>
      </c>
      <c r="C67" s="57">
        <f t="shared" ref="C67:C130" si="1">IF(B67=0, 0, 1)</f>
        <v>1</v>
      </c>
    </row>
    <row r="68" spans="1:3">
      <c r="A68" s="6" t="s">
        <v>121</v>
      </c>
      <c r="B68" s="57">
        <v>7</v>
      </c>
      <c r="C68" s="57">
        <f t="shared" si="1"/>
        <v>1</v>
      </c>
    </row>
    <row r="69" spans="1:3">
      <c r="A69" s="6" t="s">
        <v>123</v>
      </c>
      <c r="B69" s="57">
        <v>8</v>
      </c>
      <c r="C69" s="57">
        <f t="shared" si="1"/>
        <v>1</v>
      </c>
    </row>
    <row r="70" spans="1:3">
      <c r="A70" s="6" t="s">
        <v>126</v>
      </c>
      <c r="B70" s="57">
        <v>4</v>
      </c>
      <c r="C70" s="57">
        <f t="shared" si="1"/>
        <v>1</v>
      </c>
    </row>
    <row r="71" spans="1:3">
      <c r="A71" s="6" t="s">
        <v>128</v>
      </c>
      <c r="B71" s="57">
        <v>6</v>
      </c>
      <c r="C71" s="57">
        <f t="shared" si="1"/>
        <v>1</v>
      </c>
    </row>
    <row r="72" spans="1:3">
      <c r="A72" s="6" t="s">
        <v>130</v>
      </c>
      <c r="B72" s="57">
        <v>0</v>
      </c>
      <c r="C72" s="57">
        <f t="shared" si="1"/>
        <v>0</v>
      </c>
    </row>
    <row r="73" spans="1:3">
      <c r="A73" s="6" t="s">
        <v>134</v>
      </c>
      <c r="B73" s="57">
        <v>16</v>
      </c>
      <c r="C73" s="57">
        <f t="shared" si="1"/>
        <v>1</v>
      </c>
    </row>
    <row r="74" spans="1:3">
      <c r="A74" s="6" t="s">
        <v>138</v>
      </c>
      <c r="B74" s="57">
        <v>4</v>
      </c>
      <c r="C74" s="57">
        <f t="shared" si="1"/>
        <v>1</v>
      </c>
    </row>
    <row r="75" spans="1:3">
      <c r="A75" s="6" t="s">
        <v>141</v>
      </c>
      <c r="B75" s="57">
        <v>6</v>
      </c>
      <c r="C75" s="57">
        <f t="shared" si="1"/>
        <v>1</v>
      </c>
    </row>
    <row r="76" spans="1:3">
      <c r="A76" s="6" t="s">
        <v>142</v>
      </c>
      <c r="B76" s="57">
        <v>6</v>
      </c>
      <c r="C76" s="57">
        <f t="shared" si="1"/>
        <v>1</v>
      </c>
    </row>
    <row r="77" spans="1:3">
      <c r="A77" s="6" t="s">
        <v>143</v>
      </c>
      <c r="B77" s="57">
        <v>27</v>
      </c>
      <c r="C77" s="57">
        <f t="shared" si="1"/>
        <v>1</v>
      </c>
    </row>
    <row r="78" spans="1:3">
      <c r="A78" s="6" t="s">
        <v>149</v>
      </c>
      <c r="B78" s="57">
        <v>4</v>
      </c>
      <c r="C78" s="57">
        <f t="shared" si="1"/>
        <v>1</v>
      </c>
    </row>
    <row r="79" spans="1:3">
      <c r="A79" s="6" t="s">
        <v>151</v>
      </c>
      <c r="B79" s="57">
        <v>4</v>
      </c>
      <c r="C79" s="57">
        <f t="shared" si="1"/>
        <v>1</v>
      </c>
    </row>
    <row r="80" spans="1:3">
      <c r="A80" s="6" t="s">
        <v>153</v>
      </c>
      <c r="B80" s="57">
        <v>14</v>
      </c>
      <c r="C80" s="57">
        <f t="shared" si="1"/>
        <v>1</v>
      </c>
    </row>
    <row r="81" spans="1:3">
      <c r="A81" s="6" t="s">
        <v>155</v>
      </c>
      <c r="B81" s="57">
        <v>0</v>
      </c>
      <c r="C81" s="57">
        <f t="shared" si="1"/>
        <v>0</v>
      </c>
    </row>
    <row r="82" spans="1:3">
      <c r="A82" s="6" t="s">
        <v>157</v>
      </c>
      <c r="B82" s="57">
        <v>200</v>
      </c>
      <c r="C82" s="57">
        <f t="shared" si="1"/>
        <v>1</v>
      </c>
    </row>
    <row r="83" spans="1:3">
      <c r="A83" s="6" t="s">
        <v>163</v>
      </c>
      <c r="B83" s="57">
        <v>9</v>
      </c>
      <c r="C83" s="57">
        <f t="shared" si="1"/>
        <v>1</v>
      </c>
    </row>
    <row r="84" spans="1:3">
      <c r="A84" s="6" t="s">
        <v>166</v>
      </c>
      <c r="B84" s="57">
        <v>112</v>
      </c>
      <c r="C84" s="57">
        <f t="shared" si="1"/>
        <v>1</v>
      </c>
    </row>
    <row r="85" spans="1:3">
      <c r="A85" s="6" t="s">
        <v>169</v>
      </c>
      <c r="B85" s="57">
        <v>12</v>
      </c>
      <c r="C85" s="57">
        <f t="shared" si="1"/>
        <v>1</v>
      </c>
    </row>
    <row r="86" spans="1:3">
      <c r="A86" s="6" t="s">
        <v>172</v>
      </c>
      <c r="B86" s="57">
        <v>1</v>
      </c>
      <c r="C86" s="57">
        <f t="shared" si="1"/>
        <v>1</v>
      </c>
    </row>
    <row r="87" spans="1:3">
      <c r="A87" s="6" t="s">
        <v>174</v>
      </c>
      <c r="B87" s="57">
        <v>13</v>
      </c>
      <c r="C87" s="57">
        <f t="shared" si="1"/>
        <v>1</v>
      </c>
    </row>
    <row r="88" spans="1:3">
      <c r="A88" s="6" t="s">
        <v>177</v>
      </c>
      <c r="B88" s="57">
        <v>0</v>
      </c>
      <c r="C88" s="57">
        <f t="shared" si="1"/>
        <v>0</v>
      </c>
    </row>
    <row r="89" spans="1:3">
      <c r="A89" s="6" t="s">
        <v>179</v>
      </c>
      <c r="B89" s="57">
        <v>0</v>
      </c>
      <c r="C89" s="57">
        <f t="shared" si="1"/>
        <v>0</v>
      </c>
    </row>
    <row r="90" spans="1:3">
      <c r="A90" s="6" t="s">
        <v>180</v>
      </c>
      <c r="B90" s="57">
        <v>0</v>
      </c>
      <c r="C90" s="57">
        <f t="shared" si="1"/>
        <v>0</v>
      </c>
    </row>
    <row r="91" spans="1:3">
      <c r="A91" s="6" t="s">
        <v>181</v>
      </c>
      <c r="B91" s="57">
        <v>0</v>
      </c>
      <c r="C91" s="57">
        <f t="shared" si="1"/>
        <v>0</v>
      </c>
    </row>
    <row r="92" spans="1:3">
      <c r="A92" s="6" t="s">
        <v>182</v>
      </c>
      <c r="B92" s="57">
        <v>0</v>
      </c>
      <c r="C92" s="57">
        <f t="shared" si="1"/>
        <v>0</v>
      </c>
    </row>
    <row r="93" spans="1:3">
      <c r="A93" s="6" t="s">
        <v>183</v>
      </c>
      <c r="B93" s="57">
        <v>0</v>
      </c>
      <c r="C93" s="57">
        <f t="shared" si="1"/>
        <v>0</v>
      </c>
    </row>
    <row r="94" spans="1:3">
      <c r="A94" s="6" t="s">
        <v>184</v>
      </c>
      <c r="B94" s="57">
        <v>0</v>
      </c>
      <c r="C94" s="57">
        <f t="shared" si="1"/>
        <v>0</v>
      </c>
    </row>
    <row r="95" spans="1:3">
      <c r="A95" s="6" t="s">
        <v>185</v>
      </c>
      <c r="B95" s="57">
        <v>0</v>
      </c>
      <c r="C95" s="57">
        <f t="shared" si="1"/>
        <v>0</v>
      </c>
    </row>
    <row r="96" spans="1:3">
      <c r="A96" s="6" t="s">
        <v>187</v>
      </c>
      <c r="B96" s="57">
        <v>6</v>
      </c>
      <c r="C96" s="57">
        <f t="shared" si="1"/>
        <v>1</v>
      </c>
    </row>
    <row r="97" spans="1:3">
      <c r="A97" s="6" t="s">
        <v>190</v>
      </c>
      <c r="B97" s="57">
        <v>26</v>
      </c>
      <c r="C97" s="57">
        <f t="shared" si="1"/>
        <v>1</v>
      </c>
    </row>
    <row r="98" spans="1:3">
      <c r="A98" s="6" t="s">
        <v>197</v>
      </c>
      <c r="B98" s="57">
        <v>8</v>
      </c>
      <c r="C98" s="57">
        <f t="shared" si="1"/>
        <v>1</v>
      </c>
    </row>
    <row r="99" spans="1:3">
      <c r="A99" s="6" t="s">
        <v>199</v>
      </c>
      <c r="B99" s="57">
        <v>45</v>
      </c>
      <c r="C99" s="57">
        <f t="shared" si="1"/>
        <v>1</v>
      </c>
    </row>
    <row r="100" spans="1:3">
      <c r="A100" s="6" t="s">
        <v>205</v>
      </c>
      <c r="B100" s="57">
        <v>5</v>
      </c>
      <c r="C100" s="57">
        <f t="shared" si="1"/>
        <v>1</v>
      </c>
    </row>
    <row r="101" spans="1:3">
      <c r="A101" s="6" t="s">
        <v>209</v>
      </c>
      <c r="B101" s="57">
        <v>0</v>
      </c>
      <c r="C101" s="57">
        <f t="shared" si="1"/>
        <v>0</v>
      </c>
    </row>
    <row r="102" spans="1:3">
      <c r="A102" s="6" t="s">
        <v>211</v>
      </c>
      <c r="B102" s="57">
        <v>0</v>
      </c>
      <c r="C102" s="57">
        <f t="shared" si="1"/>
        <v>0</v>
      </c>
    </row>
    <row r="103" spans="1:3">
      <c r="A103" s="6" t="s">
        <v>212</v>
      </c>
      <c r="B103" s="57">
        <v>2</v>
      </c>
      <c r="C103" s="57">
        <f t="shared" si="1"/>
        <v>1</v>
      </c>
    </row>
    <row r="104" spans="1:3">
      <c r="A104" s="6" t="s">
        <v>214</v>
      </c>
      <c r="B104" s="57">
        <v>0</v>
      </c>
      <c r="C104" s="57">
        <f t="shared" si="1"/>
        <v>0</v>
      </c>
    </row>
    <row r="105" spans="1:3">
      <c r="A105" s="6" t="s">
        <v>216</v>
      </c>
      <c r="B105" s="57">
        <v>0</v>
      </c>
      <c r="C105" s="57">
        <f t="shared" si="1"/>
        <v>0</v>
      </c>
    </row>
    <row r="106" spans="1:3">
      <c r="A106" s="6" t="s">
        <v>217</v>
      </c>
      <c r="B106" s="57">
        <v>0</v>
      </c>
      <c r="C106" s="57">
        <f t="shared" si="1"/>
        <v>0</v>
      </c>
    </row>
    <row r="107" spans="1:3">
      <c r="A107" s="6" t="s">
        <v>218</v>
      </c>
      <c r="B107" s="57">
        <v>0</v>
      </c>
      <c r="C107" s="57">
        <f t="shared" si="1"/>
        <v>0</v>
      </c>
    </row>
    <row r="108" spans="1:3">
      <c r="A108" s="6" t="s">
        <v>219</v>
      </c>
      <c r="B108" s="57">
        <v>0</v>
      </c>
      <c r="C108" s="57">
        <f t="shared" si="1"/>
        <v>0</v>
      </c>
    </row>
    <row r="109" spans="1:3">
      <c r="A109" s="6" t="s">
        <v>220</v>
      </c>
      <c r="B109" s="57">
        <v>0</v>
      </c>
      <c r="C109" s="57">
        <f t="shared" si="1"/>
        <v>0</v>
      </c>
    </row>
    <row r="110" spans="1:3">
      <c r="A110" s="6" t="s">
        <v>221</v>
      </c>
      <c r="B110" s="57">
        <v>1</v>
      </c>
      <c r="C110" s="57">
        <f t="shared" si="1"/>
        <v>1</v>
      </c>
    </row>
    <row r="111" spans="1:3">
      <c r="A111" s="6" t="s">
        <v>224</v>
      </c>
      <c r="B111" s="57">
        <v>0</v>
      </c>
      <c r="C111" s="57">
        <f t="shared" si="1"/>
        <v>0</v>
      </c>
    </row>
    <row r="112" spans="1:3">
      <c r="A112" s="6" t="s">
        <v>226</v>
      </c>
      <c r="B112" s="57">
        <v>0</v>
      </c>
      <c r="C112" s="57">
        <f t="shared" si="1"/>
        <v>0</v>
      </c>
    </row>
    <row r="113" spans="1:3">
      <c r="A113" s="6" t="s">
        <v>228</v>
      </c>
      <c r="B113" s="57">
        <v>17</v>
      </c>
      <c r="C113" s="57">
        <f t="shared" si="1"/>
        <v>1</v>
      </c>
    </row>
    <row r="114" spans="1:3">
      <c r="A114" s="6" t="s">
        <v>230</v>
      </c>
      <c r="B114" s="57">
        <v>6</v>
      </c>
      <c r="C114" s="57">
        <f t="shared" si="1"/>
        <v>1</v>
      </c>
    </row>
    <row r="115" spans="1:3">
      <c r="A115" s="6" t="s">
        <v>231</v>
      </c>
      <c r="B115" s="57">
        <v>9</v>
      </c>
      <c r="C115" s="57">
        <f t="shared" si="1"/>
        <v>1</v>
      </c>
    </row>
    <row r="116" spans="1:3">
      <c r="A116" s="6" t="s">
        <v>234</v>
      </c>
      <c r="B116" s="57">
        <v>3</v>
      </c>
      <c r="C116" s="57">
        <f t="shared" si="1"/>
        <v>1</v>
      </c>
    </row>
    <row r="117" spans="1:3">
      <c r="A117" s="6" t="s">
        <v>235</v>
      </c>
      <c r="B117" s="57">
        <v>2</v>
      </c>
      <c r="C117" s="57">
        <f t="shared" si="1"/>
        <v>1</v>
      </c>
    </row>
    <row r="118" spans="1:3">
      <c r="A118" s="6" t="s">
        <v>236</v>
      </c>
      <c r="B118" s="57">
        <v>3</v>
      </c>
      <c r="C118" s="57">
        <f t="shared" si="1"/>
        <v>1</v>
      </c>
    </row>
    <row r="119" spans="1:3">
      <c r="A119" s="6" t="s">
        <v>237</v>
      </c>
      <c r="B119" s="57">
        <v>4</v>
      </c>
      <c r="C119" s="57">
        <f t="shared" si="1"/>
        <v>1</v>
      </c>
    </row>
    <row r="120" spans="1:3">
      <c r="A120" s="6" t="s">
        <v>238</v>
      </c>
      <c r="B120" s="57">
        <v>21</v>
      </c>
      <c r="C120" s="57">
        <f t="shared" si="1"/>
        <v>1</v>
      </c>
    </row>
    <row r="121" spans="1:3">
      <c r="A121" s="6" t="s">
        <v>240</v>
      </c>
      <c r="B121" s="57">
        <v>12</v>
      </c>
      <c r="C121" s="57">
        <f t="shared" si="1"/>
        <v>1</v>
      </c>
    </row>
    <row r="122" spans="1:3">
      <c r="A122" s="6" t="s">
        <v>245</v>
      </c>
      <c r="B122" s="57">
        <v>2</v>
      </c>
      <c r="C122" s="57">
        <f t="shared" si="1"/>
        <v>1</v>
      </c>
    </row>
    <row r="123" spans="1:3">
      <c r="A123" s="6" t="s">
        <v>247</v>
      </c>
      <c r="B123" s="57">
        <v>0</v>
      </c>
      <c r="C123" s="57">
        <f t="shared" si="1"/>
        <v>0</v>
      </c>
    </row>
    <row r="124" spans="1:3">
      <c r="A124" s="6" t="s">
        <v>249</v>
      </c>
      <c r="B124" s="57">
        <v>1</v>
      </c>
      <c r="C124" s="57">
        <f t="shared" si="1"/>
        <v>1</v>
      </c>
    </row>
    <row r="125" spans="1:3">
      <c r="A125" s="6" t="s">
        <v>252</v>
      </c>
      <c r="B125" s="57">
        <v>2</v>
      </c>
      <c r="C125" s="57">
        <f t="shared" si="1"/>
        <v>1</v>
      </c>
    </row>
    <row r="126" spans="1:3">
      <c r="A126" s="6" t="s">
        <v>254</v>
      </c>
      <c r="B126" s="57">
        <v>3</v>
      </c>
      <c r="C126" s="57">
        <f t="shared" si="1"/>
        <v>1</v>
      </c>
    </row>
    <row r="127" spans="1:3">
      <c r="A127" s="6" t="s">
        <v>256</v>
      </c>
      <c r="B127" s="57">
        <v>0</v>
      </c>
      <c r="C127" s="57">
        <f t="shared" si="1"/>
        <v>0</v>
      </c>
    </row>
    <row r="128" spans="1:3">
      <c r="A128" s="6" t="s">
        <v>258</v>
      </c>
      <c r="B128" s="57">
        <v>17</v>
      </c>
      <c r="C128" s="57">
        <f t="shared" si="1"/>
        <v>1</v>
      </c>
    </row>
    <row r="129" spans="1:3">
      <c r="A129" s="6" t="s">
        <v>259</v>
      </c>
      <c r="B129" s="57">
        <v>6</v>
      </c>
      <c r="C129" s="57">
        <f t="shared" si="1"/>
        <v>1</v>
      </c>
    </row>
    <row r="130" spans="1:3">
      <c r="A130" s="6" t="s">
        <v>260</v>
      </c>
      <c r="B130" s="57">
        <v>10</v>
      </c>
      <c r="C130" s="57">
        <f t="shared" si="1"/>
        <v>1</v>
      </c>
    </row>
    <row r="131" spans="1:3">
      <c r="A131" s="6" t="s">
        <v>263</v>
      </c>
      <c r="B131" s="57">
        <v>6</v>
      </c>
      <c r="C131" s="57">
        <f t="shared" ref="C131:C194" si="2">IF(B131=0, 0, 1)</f>
        <v>1</v>
      </c>
    </row>
    <row r="132" spans="1:3">
      <c r="A132" s="6" t="s">
        <v>274</v>
      </c>
      <c r="B132" s="57">
        <v>0</v>
      </c>
      <c r="C132" s="57">
        <f t="shared" si="2"/>
        <v>0</v>
      </c>
    </row>
    <row r="133" spans="1:3">
      <c r="A133" s="6" t="s">
        <v>275</v>
      </c>
      <c r="B133" s="57">
        <v>12</v>
      </c>
      <c r="C133" s="57">
        <f t="shared" si="2"/>
        <v>1</v>
      </c>
    </row>
    <row r="134" spans="1:3">
      <c r="A134" s="6" t="s">
        <v>276</v>
      </c>
      <c r="B134" s="57">
        <v>0</v>
      </c>
      <c r="C134" s="57">
        <f t="shared" si="2"/>
        <v>0</v>
      </c>
    </row>
    <row r="135" spans="1:3">
      <c r="A135" s="6" t="s">
        <v>277</v>
      </c>
      <c r="B135" s="57">
        <v>16</v>
      </c>
      <c r="C135" s="57">
        <f t="shared" si="2"/>
        <v>1</v>
      </c>
    </row>
    <row r="136" spans="1:3">
      <c r="A136" s="6" t="s">
        <v>278</v>
      </c>
      <c r="B136" s="57">
        <v>0</v>
      </c>
      <c r="C136" s="57">
        <f t="shared" si="2"/>
        <v>0</v>
      </c>
    </row>
    <row r="137" spans="1:3">
      <c r="A137" s="6" t="s">
        <v>285</v>
      </c>
      <c r="B137" s="57">
        <v>0</v>
      </c>
      <c r="C137" s="57">
        <f t="shared" si="2"/>
        <v>0</v>
      </c>
    </row>
    <row r="138" spans="1:3">
      <c r="A138" s="6" t="s">
        <v>286</v>
      </c>
      <c r="B138" s="57">
        <v>6</v>
      </c>
      <c r="C138" s="57">
        <f t="shared" si="2"/>
        <v>1</v>
      </c>
    </row>
    <row r="139" spans="1:3">
      <c r="A139" s="6" t="s">
        <v>287</v>
      </c>
      <c r="B139" s="57">
        <v>0</v>
      </c>
      <c r="C139" s="57">
        <f t="shared" si="2"/>
        <v>0</v>
      </c>
    </row>
    <row r="140" spans="1:3">
      <c r="A140" s="6" t="s">
        <v>288</v>
      </c>
      <c r="B140" s="57">
        <v>50</v>
      </c>
      <c r="C140" s="57">
        <f t="shared" si="2"/>
        <v>1</v>
      </c>
    </row>
    <row r="141" spans="1:3">
      <c r="A141" s="6" t="s">
        <v>290</v>
      </c>
      <c r="B141" s="57">
        <v>3</v>
      </c>
      <c r="C141" s="57">
        <f t="shared" si="2"/>
        <v>1</v>
      </c>
    </row>
    <row r="142" spans="1:3">
      <c r="A142" s="6" t="s">
        <v>291</v>
      </c>
      <c r="B142" s="57">
        <v>0</v>
      </c>
      <c r="C142" s="57">
        <f t="shared" si="2"/>
        <v>0</v>
      </c>
    </row>
    <row r="143" spans="1:3">
      <c r="A143" s="6" t="s">
        <v>292</v>
      </c>
      <c r="B143" s="57">
        <v>1</v>
      </c>
      <c r="C143" s="57">
        <f t="shared" si="2"/>
        <v>1</v>
      </c>
    </row>
    <row r="144" spans="1:3">
      <c r="A144" s="6" t="s">
        <v>293</v>
      </c>
      <c r="B144" s="57">
        <v>0</v>
      </c>
      <c r="C144" s="57">
        <f t="shared" si="2"/>
        <v>0</v>
      </c>
    </row>
    <row r="145" spans="1:3">
      <c r="A145" s="6" t="s">
        <v>294</v>
      </c>
      <c r="B145" s="57">
        <v>0</v>
      </c>
      <c r="C145" s="57">
        <f t="shared" si="2"/>
        <v>0</v>
      </c>
    </row>
    <row r="146" spans="1:3">
      <c r="A146" s="6" t="s">
        <v>295</v>
      </c>
      <c r="B146" s="57">
        <v>0</v>
      </c>
      <c r="C146" s="57">
        <f t="shared" si="2"/>
        <v>0</v>
      </c>
    </row>
    <row r="147" spans="1:3">
      <c r="A147" s="6" t="s">
        <v>297</v>
      </c>
      <c r="B147" s="57">
        <v>42</v>
      </c>
      <c r="C147" s="57">
        <f t="shared" si="2"/>
        <v>1</v>
      </c>
    </row>
    <row r="148" spans="1:3">
      <c r="A148" s="6" t="s">
        <v>298</v>
      </c>
      <c r="B148" s="57">
        <v>1</v>
      </c>
      <c r="C148" s="57">
        <f t="shared" si="2"/>
        <v>1</v>
      </c>
    </row>
    <row r="149" spans="1:3">
      <c r="A149" s="6" t="s">
        <v>299</v>
      </c>
      <c r="B149" s="57">
        <v>15</v>
      </c>
      <c r="C149" s="57">
        <f t="shared" si="2"/>
        <v>1</v>
      </c>
    </row>
    <row r="150" spans="1:3">
      <c r="A150" s="6" t="s">
        <v>300</v>
      </c>
      <c r="B150" s="57">
        <v>3</v>
      </c>
      <c r="C150" s="57">
        <f t="shared" si="2"/>
        <v>1</v>
      </c>
    </row>
    <row r="151" spans="1:3">
      <c r="A151" s="6" t="s">
        <v>301</v>
      </c>
      <c r="B151" s="57">
        <v>2</v>
      </c>
      <c r="C151" s="57">
        <f t="shared" si="2"/>
        <v>1</v>
      </c>
    </row>
    <row r="152" spans="1:3">
      <c r="A152" s="6" t="s">
        <v>302</v>
      </c>
      <c r="B152" s="57">
        <v>319</v>
      </c>
      <c r="C152" s="57">
        <f t="shared" si="2"/>
        <v>1</v>
      </c>
    </row>
    <row r="153" spans="1:3">
      <c r="A153" s="6" t="s">
        <v>304</v>
      </c>
      <c r="B153" s="57">
        <v>0</v>
      </c>
      <c r="C153" s="57">
        <f t="shared" si="2"/>
        <v>0</v>
      </c>
    </row>
    <row r="154" spans="1:3">
      <c r="A154" s="6" t="s">
        <v>305</v>
      </c>
      <c r="B154" s="57">
        <v>0</v>
      </c>
      <c r="C154" s="57">
        <f t="shared" si="2"/>
        <v>0</v>
      </c>
    </row>
    <row r="155" spans="1:3">
      <c r="A155" s="6" t="s">
        <v>306</v>
      </c>
      <c r="B155" s="57">
        <v>4</v>
      </c>
      <c r="C155" s="57">
        <f t="shared" si="2"/>
        <v>1</v>
      </c>
    </row>
    <row r="156" spans="1:3">
      <c r="A156" s="6" t="s">
        <v>307</v>
      </c>
      <c r="B156" s="57">
        <v>10</v>
      </c>
      <c r="C156" s="57">
        <f t="shared" si="2"/>
        <v>1</v>
      </c>
    </row>
    <row r="157" spans="1:3">
      <c r="A157" s="6" t="s">
        <v>308</v>
      </c>
      <c r="B157" s="57">
        <v>1</v>
      </c>
      <c r="C157" s="57">
        <f t="shared" si="2"/>
        <v>1</v>
      </c>
    </row>
    <row r="158" spans="1:3">
      <c r="A158" s="6" t="s">
        <v>309</v>
      </c>
      <c r="B158" s="57">
        <v>8</v>
      </c>
      <c r="C158" s="57">
        <f t="shared" si="2"/>
        <v>1</v>
      </c>
    </row>
    <row r="159" spans="1:3">
      <c r="A159" s="6" t="s">
        <v>310</v>
      </c>
      <c r="B159" s="57">
        <v>4</v>
      </c>
      <c r="C159" s="57">
        <f t="shared" si="2"/>
        <v>1</v>
      </c>
    </row>
    <row r="160" spans="1:3">
      <c r="A160" s="6" t="s">
        <v>311</v>
      </c>
      <c r="B160" s="57">
        <v>0</v>
      </c>
      <c r="C160" s="57">
        <f t="shared" si="2"/>
        <v>0</v>
      </c>
    </row>
    <row r="161" spans="1:3">
      <c r="A161" s="6" t="s">
        <v>312</v>
      </c>
      <c r="B161" s="57">
        <v>2</v>
      </c>
      <c r="C161" s="57">
        <f t="shared" si="2"/>
        <v>1</v>
      </c>
    </row>
    <row r="162" spans="1:3">
      <c r="A162" s="6" t="s">
        <v>313</v>
      </c>
      <c r="B162" s="57">
        <v>0</v>
      </c>
      <c r="C162" s="57">
        <f t="shared" si="2"/>
        <v>0</v>
      </c>
    </row>
    <row r="163" spans="1:3">
      <c r="A163" s="6" t="s">
        <v>314</v>
      </c>
      <c r="B163" s="57">
        <v>3</v>
      </c>
      <c r="C163" s="57">
        <f t="shared" si="2"/>
        <v>1</v>
      </c>
    </row>
    <row r="164" spans="1:3">
      <c r="A164" s="6" t="s">
        <v>315</v>
      </c>
      <c r="B164" s="57">
        <v>61</v>
      </c>
      <c r="C164" s="57">
        <f t="shared" si="2"/>
        <v>1</v>
      </c>
    </row>
    <row r="165" spans="1:3">
      <c r="A165" s="6" t="s">
        <v>316</v>
      </c>
      <c r="B165" s="57">
        <v>140</v>
      </c>
      <c r="C165" s="57">
        <f t="shared" si="2"/>
        <v>1</v>
      </c>
    </row>
    <row r="166" spans="1:3">
      <c r="A166" s="6" t="s">
        <v>317</v>
      </c>
      <c r="B166" s="57">
        <v>0</v>
      </c>
      <c r="C166" s="57">
        <f t="shared" si="2"/>
        <v>0</v>
      </c>
    </row>
    <row r="167" spans="1:3">
      <c r="A167" s="6" t="s">
        <v>318</v>
      </c>
      <c r="B167" s="57">
        <v>15</v>
      </c>
      <c r="C167" s="57">
        <f t="shared" si="2"/>
        <v>1</v>
      </c>
    </row>
    <row r="168" spans="1:3">
      <c r="A168" s="6" t="s">
        <v>319</v>
      </c>
      <c r="B168" s="57">
        <v>187</v>
      </c>
      <c r="C168" s="57">
        <f t="shared" si="2"/>
        <v>1</v>
      </c>
    </row>
    <row r="169" spans="1:3">
      <c r="A169" s="6" t="s">
        <v>320</v>
      </c>
      <c r="B169" s="57">
        <v>0</v>
      </c>
      <c r="C169" s="57">
        <f t="shared" si="2"/>
        <v>0</v>
      </c>
    </row>
    <row r="170" spans="1:3">
      <c r="A170" s="6" t="s">
        <v>322</v>
      </c>
      <c r="B170" s="57">
        <v>0</v>
      </c>
      <c r="C170" s="57">
        <f t="shared" si="2"/>
        <v>0</v>
      </c>
    </row>
    <row r="171" spans="1:3">
      <c r="A171" s="6" t="s">
        <v>323</v>
      </c>
      <c r="B171" s="57">
        <v>3</v>
      </c>
      <c r="C171" s="57">
        <f t="shared" si="2"/>
        <v>1</v>
      </c>
    </row>
    <row r="172" spans="1:3">
      <c r="A172" s="6" t="s">
        <v>325</v>
      </c>
      <c r="B172" s="57">
        <v>2</v>
      </c>
      <c r="C172" s="57">
        <f t="shared" si="2"/>
        <v>1</v>
      </c>
    </row>
    <row r="173" spans="1:3">
      <c r="A173" s="6" t="s">
        <v>328</v>
      </c>
      <c r="B173" s="57">
        <v>2</v>
      </c>
      <c r="C173" s="57">
        <f t="shared" si="2"/>
        <v>1</v>
      </c>
    </row>
    <row r="174" spans="1:3">
      <c r="A174" s="6" t="s">
        <v>329</v>
      </c>
      <c r="B174" s="57">
        <v>4</v>
      </c>
      <c r="C174" s="57">
        <f t="shared" si="2"/>
        <v>1</v>
      </c>
    </row>
    <row r="175" spans="1:3">
      <c r="A175" s="6" t="s">
        <v>331</v>
      </c>
      <c r="B175" s="57">
        <v>0</v>
      </c>
      <c r="C175" s="57">
        <f t="shared" si="2"/>
        <v>0</v>
      </c>
    </row>
    <row r="176" spans="1:3">
      <c r="A176" s="6" t="s">
        <v>334</v>
      </c>
      <c r="B176" s="57">
        <v>17</v>
      </c>
      <c r="C176" s="57">
        <f t="shared" si="2"/>
        <v>1</v>
      </c>
    </row>
    <row r="177" spans="1:3">
      <c r="A177" s="6" t="s">
        <v>335</v>
      </c>
      <c r="B177" s="57">
        <v>6</v>
      </c>
      <c r="C177" s="57">
        <f t="shared" si="2"/>
        <v>1</v>
      </c>
    </row>
    <row r="178" spans="1:3">
      <c r="A178" s="6" t="s">
        <v>336</v>
      </c>
      <c r="B178" s="57">
        <v>4</v>
      </c>
      <c r="C178" s="57">
        <f t="shared" si="2"/>
        <v>1</v>
      </c>
    </row>
    <row r="179" spans="1:3">
      <c r="A179" s="6" t="s">
        <v>338</v>
      </c>
      <c r="B179" s="57">
        <v>21</v>
      </c>
      <c r="C179" s="57">
        <f t="shared" si="2"/>
        <v>1</v>
      </c>
    </row>
    <row r="180" spans="1:3">
      <c r="A180" s="6" t="s">
        <v>341</v>
      </c>
      <c r="B180" s="57">
        <v>0</v>
      </c>
      <c r="C180" s="57">
        <f t="shared" si="2"/>
        <v>0</v>
      </c>
    </row>
    <row r="181" spans="1:3">
      <c r="A181" s="6" t="s">
        <v>343</v>
      </c>
      <c r="B181" s="57">
        <v>74</v>
      </c>
      <c r="C181" s="57">
        <f t="shared" si="2"/>
        <v>1</v>
      </c>
    </row>
    <row r="182" spans="1:3">
      <c r="A182" s="6" t="s">
        <v>348</v>
      </c>
      <c r="B182" s="57">
        <v>0</v>
      </c>
      <c r="C182" s="57">
        <f t="shared" si="2"/>
        <v>0</v>
      </c>
    </row>
    <row r="183" spans="1:3">
      <c r="A183" s="6" t="s">
        <v>350</v>
      </c>
      <c r="B183" s="57">
        <v>15</v>
      </c>
      <c r="C183" s="57">
        <f t="shared" si="2"/>
        <v>1</v>
      </c>
    </row>
    <row r="184" spans="1:3">
      <c r="A184" s="6" t="s">
        <v>355</v>
      </c>
      <c r="B184" s="57">
        <v>15</v>
      </c>
      <c r="C184" s="57">
        <f t="shared" si="2"/>
        <v>1</v>
      </c>
    </row>
    <row r="185" spans="1:3">
      <c r="A185" s="6" t="s">
        <v>358</v>
      </c>
      <c r="B185" s="57">
        <v>2</v>
      </c>
      <c r="C185" s="57">
        <f t="shared" si="2"/>
        <v>1</v>
      </c>
    </row>
    <row r="186" spans="1:3">
      <c r="A186" s="6" t="s">
        <v>360</v>
      </c>
      <c r="B186" s="57">
        <v>0</v>
      </c>
      <c r="C186" s="57">
        <f t="shared" si="2"/>
        <v>0</v>
      </c>
    </row>
    <row r="187" spans="1:3">
      <c r="A187" s="6" t="s">
        <v>364</v>
      </c>
      <c r="B187" s="57">
        <v>0</v>
      </c>
      <c r="C187" s="57">
        <f t="shared" si="2"/>
        <v>0</v>
      </c>
    </row>
    <row r="188" spans="1:3">
      <c r="A188" s="6" t="s">
        <v>366</v>
      </c>
      <c r="B188" s="57">
        <v>3</v>
      </c>
      <c r="C188" s="57">
        <f t="shared" si="2"/>
        <v>1</v>
      </c>
    </row>
    <row r="189" spans="1:3">
      <c r="A189" s="6" t="s">
        <v>373</v>
      </c>
      <c r="B189" s="57">
        <v>10</v>
      </c>
      <c r="C189" s="57">
        <f t="shared" si="2"/>
        <v>1</v>
      </c>
    </row>
    <row r="190" spans="1:3">
      <c r="A190" s="6" t="s">
        <v>374</v>
      </c>
      <c r="B190" s="57">
        <v>0</v>
      </c>
      <c r="C190" s="57">
        <f t="shared" si="2"/>
        <v>0</v>
      </c>
    </row>
    <row r="191" spans="1:3">
      <c r="A191" s="6" t="s">
        <v>376</v>
      </c>
      <c r="B191" s="57">
        <v>12</v>
      </c>
      <c r="C191" s="57">
        <f t="shared" si="2"/>
        <v>1</v>
      </c>
    </row>
    <row r="192" spans="1:3">
      <c r="A192" s="6" t="s">
        <v>378</v>
      </c>
      <c r="B192" s="57">
        <v>0</v>
      </c>
      <c r="C192" s="57">
        <f t="shared" si="2"/>
        <v>0</v>
      </c>
    </row>
    <row r="193" spans="1:3">
      <c r="A193" s="6" t="s">
        <v>380</v>
      </c>
      <c r="B193" s="57">
        <v>0</v>
      </c>
      <c r="C193" s="57">
        <f t="shared" si="2"/>
        <v>0</v>
      </c>
    </row>
    <row r="194" spans="1:3">
      <c r="A194" s="6" t="s">
        <v>381</v>
      </c>
      <c r="B194" s="57">
        <v>0</v>
      </c>
      <c r="C194" s="57">
        <f t="shared" si="2"/>
        <v>0</v>
      </c>
    </row>
    <row r="195" spans="1:3">
      <c r="A195" s="6" t="s">
        <v>383</v>
      </c>
      <c r="B195" s="57">
        <v>2</v>
      </c>
      <c r="C195" s="57">
        <f t="shared" ref="C195:C226" si="3">IF(B195=0, 0, 1)</f>
        <v>1</v>
      </c>
    </row>
    <row r="196" spans="1:3">
      <c r="A196" s="6" t="s">
        <v>384</v>
      </c>
      <c r="B196" s="57">
        <v>0</v>
      </c>
      <c r="C196" s="57">
        <f t="shared" si="3"/>
        <v>0</v>
      </c>
    </row>
    <row r="197" spans="1:3">
      <c r="A197" s="6" t="s">
        <v>385</v>
      </c>
      <c r="B197" s="57">
        <v>8</v>
      </c>
      <c r="C197" s="57">
        <f t="shared" si="3"/>
        <v>1</v>
      </c>
    </row>
    <row r="198" spans="1:3">
      <c r="A198" s="6" t="s">
        <v>387</v>
      </c>
      <c r="B198" s="57">
        <v>12</v>
      </c>
      <c r="C198" s="57">
        <f t="shared" si="3"/>
        <v>1</v>
      </c>
    </row>
    <row r="199" spans="1:3">
      <c r="A199" s="6" t="s">
        <v>389</v>
      </c>
      <c r="B199" s="57">
        <v>4</v>
      </c>
      <c r="C199" s="57">
        <f t="shared" si="3"/>
        <v>1</v>
      </c>
    </row>
    <row r="200" spans="1:3">
      <c r="A200" s="6" t="s">
        <v>391</v>
      </c>
      <c r="B200" s="57">
        <v>0</v>
      </c>
      <c r="C200" s="57">
        <f t="shared" si="3"/>
        <v>0</v>
      </c>
    </row>
    <row r="201" spans="1:3">
      <c r="A201" s="6" t="s">
        <v>393</v>
      </c>
      <c r="B201" s="57">
        <v>0</v>
      </c>
      <c r="C201" s="57">
        <f t="shared" si="3"/>
        <v>0</v>
      </c>
    </row>
    <row r="202" spans="1:3">
      <c r="A202" s="6" t="s">
        <v>395</v>
      </c>
      <c r="B202" s="57">
        <v>3</v>
      </c>
      <c r="C202" s="57">
        <f t="shared" si="3"/>
        <v>1</v>
      </c>
    </row>
    <row r="203" spans="1:3">
      <c r="A203" s="6" t="s">
        <v>398</v>
      </c>
      <c r="B203" s="57">
        <v>2</v>
      </c>
      <c r="C203" s="57">
        <f t="shared" si="3"/>
        <v>1</v>
      </c>
    </row>
    <row r="204" spans="1:3">
      <c r="A204" s="6" t="s">
        <v>400</v>
      </c>
      <c r="B204" s="57">
        <v>13</v>
      </c>
      <c r="C204" s="57">
        <f t="shared" si="3"/>
        <v>1</v>
      </c>
    </row>
    <row r="205" spans="1:3">
      <c r="A205" s="6" t="s">
        <v>402</v>
      </c>
      <c r="B205" s="57">
        <v>28</v>
      </c>
      <c r="C205" s="57">
        <f t="shared" si="3"/>
        <v>1</v>
      </c>
    </row>
    <row r="206" spans="1:3">
      <c r="A206" s="6" t="s">
        <v>403</v>
      </c>
      <c r="B206" s="57">
        <v>0</v>
      </c>
      <c r="C206" s="57">
        <f t="shared" si="3"/>
        <v>0</v>
      </c>
    </row>
    <row r="207" spans="1:3">
      <c r="A207" s="6" t="s">
        <v>405</v>
      </c>
      <c r="B207" s="57">
        <v>40</v>
      </c>
      <c r="C207" s="57">
        <f t="shared" si="3"/>
        <v>1</v>
      </c>
    </row>
    <row r="208" spans="1:3">
      <c r="A208" s="6" t="s">
        <v>409</v>
      </c>
      <c r="B208" s="57">
        <v>8</v>
      </c>
      <c r="C208" s="57">
        <f t="shared" si="3"/>
        <v>1</v>
      </c>
    </row>
    <row r="209" spans="1:3">
      <c r="A209" s="6" t="s">
        <v>411</v>
      </c>
      <c r="B209" s="57">
        <v>101</v>
      </c>
      <c r="C209" s="57">
        <f t="shared" si="3"/>
        <v>1</v>
      </c>
    </row>
    <row r="210" spans="1:3">
      <c r="A210" s="6" t="s">
        <v>415</v>
      </c>
      <c r="B210" s="57">
        <v>0</v>
      </c>
      <c r="C210" s="57">
        <f t="shared" si="3"/>
        <v>0</v>
      </c>
    </row>
    <row r="211" spans="1:3">
      <c r="A211" s="6" t="s">
        <v>417</v>
      </c>
      <c r="B211" s="57">
        <v>11</v>
      </c>
      <c r="C211" s="57">
        <f t="shared" si="3"/>
        <v>1</v>
      </c>
    </row>
    <row r="212" spans="1:3">
      <c r="A212" s="6" t="s">
        <v>419</v>
      </c>
      <c r="B212" s="57">
        <v>8</v>
      </c>
      <c r="C212" s="57">
        <f t="shared" si="3"/>
        <v>1</v>
      </c>
    </row>
    <row r="213" spans="1:3">
      <c r="A213" s="6" t="s">
        <v>422</v>
      </c>
      <c r="B213" s="57">
        <v>33</v>
      </c>
      <c r="C213" s="57">
        <f t="shared" si="3"/>
        <v>1</v>
      </c>
    </row>
    <row r="214" spans="1:3">
      <c r="A214" s="6" t="s">
        <v>425</v>
      </c>
      <c r="B214" s="57">
        <v>28</v>
      </c>
      <c r="C214" s="57">
        <f t="shared" si="3"/>
        <v>1</v>
      </c>
    </row>
    <row r="215" spans="1:3">
      <c r="A215" s="6" t="s">
        <v>427</v>
      </c>
      <c r="B215" s="57">
        <v>1</v>
      </c>
      <c r="C215" s="57">
        <f t="shared" si="3"/>
        <v>1</v>
      </c>
    </row>
    <row r="216" spans="1:3">
      <c r="A216" s="6" t="s">
        <v>428</v>
      </c>
      <c r="B216" s="57">
        <v>10</v>
      </c>
      <c r="C216" s="57">
        <f t="shared" si="3"/>
        <v>1</v>
      </c>
    </row>
    <row r="217" spans="1:3">
      <c r="A217" s="6" t="s">
        <v>432</v>
      </c>
      <c r="B217" s="57">
        <v>6</v>
      </c>
      <c r="C217" s="57">
        <f t="shared" si="3"/>
        <v>1</v>
      </c>
    </row>
    <row r="218" spans="1:3">
      <c r="A218" s="6" t="s">
        <v>433</v>
      </c>
      <c r="B218" s="57">
        <v>22</v>
      </c>
      <c r="C218" s="57">
        <f t="shared" si="3"/>
        <v>1</v>
      </c>
    </row>
    <row r="219" spans="1:3">
      <c r="A219" s="6" t="s">
        <v>434</v>
      </c>
      <c r="B219" s="57">
        <v>1</v>
      </c>
      <c r="C219" s="57">
        <f t="shared" si="3"/>
        <v>1</v>
      </c>
    </row>
    <row r="220" spans="1:3">
      <c r="A220" s="6" t="s">
        <v>436</v>
      </c>
      <c r="B220" s="57">
        <v>27</v>
      </c>
      <c r="C220" s="57">
        <f t="shared" si="3"/>
        <v>1</v>
      </c>
    </row>
    <row r="221" spans="1:3">
      <c r="A221" s="6" t="s">
        <v>437</v>
      </c>
      <c r="B221" s="57">
        <v>3</v>
      </c>
      <c r="C221" s="57">
        <f t="shared" si="3"/>
        <v>1</v>
      </c>
    </row>
    <row r="222" spans="1:3">
      <c r="A222" s="6" t="s">
        <v>438</v>
      </c>
      <c r="B222" s="57">
        <v>8</v>
      </c>
      <c r="C222" s="57">
        <f t="shared" si="3"/>
        <v>1</v>
      </c>
    </row>
    <row r="223" spans="1:3">
      <c r="A223" s="6" t="s">
        <v>439</v>
      </c>
      <c r="B223" s="57">
        <v>0</v>
      </c>
      <c r="C223" s="57">
        <f t="shared" si="3"/>
        <v>0</v>
      </c>
    </row>
    <row r="224" spans="1:3">
      <c r="A224" s="6" t="s">
        <v>440</v>
      </c>
      <c r="B224" s="57">
        <v>4</v>
      </c>
      <c r="C224" s="57">
        <f t="shared" si="3"/>
        <v>1</v>
      </c>
    </row>
    <row r="225" spans="1:3">
      <c r="A225" s="6" t="s">
        <v>441</v>
      </c>
      <c r="B225" s="57">
        <v>0</v>
      </c>
      <c r="C225" s="57">
        <f t="shared" si="3"/>
        <v>0</v>
      </c>
    </row>
    <row r="226" spans="1:3">
      <c r="A226" s="6" t="s">
        <v>443</v>
      </c>
      <c r="B226" s="57">
        <v>370</v>
      </c>
      <c r="C226" s="57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F2E0-49CC-4B62-9951-6D5AF6C0D02B}">
  <sheetPr codeName="Sheet9"/>
  <dimension ref="A1:AC785"/>
  <sheetViews>
    <sheetView topLeftCell="Q1" zoomScale="62" zoomScaleNormal="100" zoomScaleSheetLayoutView="84" workbookViewId="0">
      <selection activeCell="B48" sqref="B48"/>
    </sheetView>
  </sheetViews>
  <sheetFormatPr defaultRowHeight="12.3"/>
  <cols>
    <col min="1" max="1" width="56.27734375" style="16" bestFit="1" customWidth="1"/>
    <col min="2" max="2" width="28.83203125" bestFit="1" customWidth="1"/>
    <col min="3" max="3" width="16.5546875" bestFit="1" customWidth="1"/>
    <col min="5" max="5" width="56.27734375" bestFit="1" customWidth="1"/>
    <col min="6" max="6" width="40.27734375" bestFit="1" customWidth="1"/>
    <col min="7" max="7" width="28.83203125" bestFit="1" customWidth="1"/>
    <col min="8" max="8" width="15.44140625" bestFit="1" customWidth="1"/>
    <col min="10" max="10" width="31.44140625" bestFit="1" customWidth="1"/>
    <col min="11" max="11" width="36.27734375" bestFit="1" customWidth="1"/>
    <col min="12" max="12" width="48.44140625" bestFit="1" customWidth="1"/>
    <col min="14" max="14" width="56.27734375" style="58" bestFit="1" customWidth="1"/>
    <col min="15" max="15" width="28.83203125" style="58" bestFit="1" customWidth="1"/>
    <col min="16" max="16" width="16.5546875" style="58" bestFit="1" customWidth="1"/>
    <col min="17" max="17" width="33.1640625" bestFit="1" customWidth="1"/>
    <col min="18" max="18" width="20.27734375" bestFit="1" customWidth="1"/>
    <col min="19" max="19" width="18.44140625" bestFit="1" customWidth="1"/>
    <col min="20" max="20" width="20.44140625" bestFit="1" customWidth="1"/>
    <col min="21" max="21" width="24.44140625" bestFit="1" customWidth="1"/>
    <col min="22" max="22" width="33.5546875" bestFit="1" customWidth="1"/>
    <col min="23" max="23" width="34.1640625" bestFit="1" customWidth="1"/>
    <col min="24" max="24" width="34.5546875" bestFit="1" customWidth="1"/>
    <col min="25" max="25" width="38.27734375" bestFit="1" customWidth="1"/>
    <col min="26" max="26" width="20" bestFit="1" customWidth="1"/>
    <col min="27" max="27" width="53.44140625" bestFit="1" customWidth="1"/>
    <col min="28" max="28" width="38.27734375" bestFit="1" customWidth="1"/>
    <col min="29" max="29" width="53.44140625" bestFit="1" customWidth="1"/>
  </cols>
  <sheetData>
    <row r="1" spans="1:29">
      <c r="A1" s="28" t="s">
        <v>0</v>
      </c>
      <c r="B1" s="23" t="s">
        <v>493</v>
      </c>
      <c r="C1" s="29" t="s">
        <v>494</v>
      </c>
      <c r="E1" s="27" t="s">
        <v>0</v>
      </c>
      <c r="F1" s="27" t="s">
        <v>495</v>
      </c>
      <c r="G1" s="23" t="s">
        <v>493</v>
      </c>
      <c r="H1" s="29" t="s">
        <v>494</v>
      </c>
      <c r="J1" s="24" t="s">
        <v>456</v>
      </c>
      <c r="K1" s="24" t="s">
        <v>460</v>
      </c>
      <c r="L1" s="24" t="s">
        <v>459</v>
      </c>
      <c r="N1" s="28" t="s">
        <v>0</v>
      </c>
      <c r="O1" s="23" t="s">
        <v>493</v>
      </c>
      <c r="P1" s="29" t="s">
        <v>494</v>
      </c>
      <c r="Q1" s="23" t="s">
        <v>508</v>
      </c>
      <c r="R1" s="29" t="s">
        <v>509</v>
      </c>
      <c r="S1" s="29" t="s">
        <v>510</v>
      </c>
      <c r="T1" s="29" t="s">
        <v>512</v>
      </c>
      <c r="U1" s="29" t="s">
        <v>513</v>
      </c>
      <c r="V1" s="29" t="s">
        <v>516</v>
      </c>
      <c r="W1" s="24" t="s">
        <v>456</v>
      </c>
      <c r="X1" s="24" t="s">
        <v>514</v>
      </c>
      <c r="Y1" s="24" t="s">
        <v>515</v>
      </c>
      <c r="Z1" s="24" t="s">
        <v>511</v>
      </c>
      <c r="AA1" s="24" t="s">
        <v>517</v>
      </c>
    </row>
    <row r="2" spans="1:29">
      <c r="A2" s="6" t="s">
        <v>1</v>
      </c>
      <c r="B2">
        <v>0</v>
      </c>
      <c r="C2">
        <f>IF(B2=0,0,1)</f>
        <v>0</v>
      </c>
      <c r="E2" s="31" t="s">
        <v>1</v>
      </c>
      <c r="F2" s="31" t="s">
        <v>2</v>
      </c>
      <c r="G2" s="8">
        <v>0</v>
      </c>
      <c r="H2">
        <f>IF(G2=0,0,1)</f>
        <v>0</v>
      </c>
      <c r="J2" s="25">
        <v>225</v>
      </c>
      <c r="K2" s="10">
        <f>J2-L2</f>
        <v>152</v>
      </c>
      <c r="L2" s="10">
        <f>SUM(C2:C226)</f>
        <v>73</v>
      </c>
      <c r="N2" s="6" t="s">
        <v>1</v>
      </c>
      <c r="O2" s="58">
        <v>0</v>
      </c>
      <c r="P2" s="58">
        <v>0</v>
      </c>
      <c r="Q2">
        <v>1</v>
      </c>
      <c r="R2">
        <f>IF(Q2=0,0,1)</f>
        <v>1</v>
      </c>
      <c r="S2">
        <f>IF(AND(P2=0,R2 = 0), 1, 0)</f>
        <v>0</v>
      </c>
      <c r="T2">
        <f>IF(AND(P2=1,R2=0),1,0)</f>
        <v>0</v>
      </c>
      <c r="U2">
        <f>IF(AND(P2=0,R2=1),1,0)</f>
        <v>1</v>
      </c>
      <c r="V2">
        <f>IF(AND(P2=1,R2=1),1,0)</f>
        <v>0</v>
      </c>
      <c r="W2" s="25">
        <v>225</v>
      </c>
      <c r="X2" s="10">
        <f>SUM(T2:T226)</f>
        <v>11</v>
      </c>
      <c r="Y2" s="10">
        <f>SUM(U2:U226)</f>
        <v>84</v>
      </c>
      <c r="Z2" s="10">
        <f>SUM(S2:S226)</f>
        <v>68</v>
      </c>
      <c r="AA2" s="10">
        <f>SUM(V2:V226)</f>
        <v>62</v>
      </c>
    </row>
    <row r="3" spans="1:29">
      <c r="A3" s="6" t="s">
        <v>3</v>
      </c>
      <c r="B3">
        <v>0</v>
      </c>
      <c r="C3" s="16">
        <f t="shared" ref="C3:C66" si="0">IF(B3=0,0,1)</f>
        <v>0</v>
      </c>
      <c r="E3" s="6" t="s">
        <v>3</v>
      </c>
      <c r="F3" s="6" t="s">
        <v>4</v>
      </c>
      <c r="G3" s="8">
        <v>0</v>
      </c>
      <c r="H3" s="16">
        <f t="shared" ref="H3:H66" si="1">IF(G3=0,0,1)</f>
        <v>0</v>
      </c>
      <c r="N3" s="6" t="s">
        <v>3</v>
      </c>
      <c r="O3" s="58">
        <v>0</v>
      </c>
      <c r="P3" s="58">
        <f t="shared" ref="P3:P66" si="2">IF(O3=0,0,1)</f>
        <v>0</v>
      </c>
      <c r="Q3">
        <v>0</v>
      </c>
      <c r="R3" s="58">
        <f t="shared" ref="R3:R66" si="3">IF(Q3=0,0,1)</f>
        <v>0</v>
      </c>
      <c r="S3" s="58">
        <f t="shared" ref="S3:S66" si="4">IF(AND(P3=0,R3 = 0), 1, 0)</f>
        <v>1</v>
      </c>
      <c r="T3" s="58">
        <f t="shared" ref="T3:T66" si="5">IF(AND(P3=1,R3=0),1,0)</f>
        <v>0</v>
      </c>
      <c r="U3" s="58">
        <f t="shared" ref="U3:U66" si="6">IF(AND(P3=0,R3=1),1,0)</f>
        <v>0</v>
      </c>
      <c r="V3" s="58">
        <f t="shared" ref="V3:V66" si="7">IF(AND(P3=1,R3=1),1,0)</f>
        <v>0</v>
      </c>
    </row>
    <row r="4" spans="1:29">
      <c r="A4" s="6" t="s">
        <v>5</v>
      </c>
      <c r="B4">
        <v>0</v>
      </c>
      <c r="C4" s="16">
        <f t="shared" si="0"/>
        <v>0</v>
      </c>
      <c r="E4" s="6" t="s">
        <v>5</v>
      </c>
      <c r="F4" s="6" t="s">
        <v>6</v>
      </c>
      <c r="G4" s="8">
        <v>0</v>
      </c>
      <c r="H4" s="16">
        <f t="shared" si="1"/>
        <v>0</v>
      </c>
      <c r="J4" s="24" t="s">
        <v>461</v>
      </c>
      <c r="K4" s="24" t="s">
        <v>462</v>
      </c>
      <c r="L4" s="24" t="s">
        <v>463</v>
      </c>
      <c r="N4" s="6" t="s">
        <v>5</v>
      </c>
      <c r="O4" s="58">
        <v>0</v>
      </c>
      <c r="P4" s="58">
        <f t="shared" si="2"/>
        <v>0</v>
      </c>
      <c r="Q4">
        <v>0</v>
      </c>
      <c r="R4" s="58">
        <f t="shared" si="3"/>
        <v>0</v>
      </c>
      <c r="S4" s="58">
        <f t="shared" si="4"/>
        <v>1</v>
      </c>
      <c r="T4" s="58">
        <f t="shared" si="5"/>
        <v>0</v>
      </c>
      <c r="U4" s="58">
        <f t="shared" si="6"/>
        <v>0</v>
      </c>
      <c r="V4" s="58">
        <f t="shared" si="7"/>
        <v>0</v>
      </c>
      <c r="Z4" s="24" t="s">
        <v>511</v>
      </c>
      <c r="AA4" s="24" t="s">
        <v>515</v>
      </c>
      <c r="AB4" s="24" t="s">
        <v>514</v>
      </c>
      <c r="AC4" s="24" t="s">
        <v>517</v>
      </c>
    </row>
    <row r="5" spans="1:29">
      <c r="A5" s="6" t="s">
        <v>7</v>
      </c>
      <c r="B5">
        <v>15</v>
      </c>
      <c r="C5" s="16">
        <f t="shared" si="0"/>
        <v>1</v>
      </c>
      <c r="E5" s="6" t="s">
        <v>7</v>
      </c>
      <c r="F5" s="6" t="s">
        <v>8</v>
      </c>
      <c r="G5" s="8">
        <v>11</v>
      </c>
      <c r="H5" s="16">
        <f t="shared" si="1"/>
        <v>1</v>
      </c>
      <c r="J5" s="25">
        <v>784</v>
      </c>
      <c r="K5" s="10">
        <f>SUM(H2:H785)</f>
        <v>102</v>
      </c>
      <c r="L5" s="30">
        <f>K5/J5</f>
        <v>0.13010204081632654</v>
      </c>
      <c r="N5" s="6" t="s">
        <v>7</v>
      </c>
      <c r="O5" s="58">
        <v>15</v>
      </c>
      <c r="P5" s="58">
        <f t="shared" si="2"/>
        <v>1</v>
      </c>
      <c r="Q5">
        <v>55</v>
      </c>
      <c r="R5" s="58">
        <f t="shared" si="3"/>
        <v>1</v>
      </c>
      <c r="S5" s="58">
        <f t="shared" si="4"/>
        <v>0</v>
      </c>
      <c r="T5" s="58">
        <f t="shared" si="5"/>
        <v>0</v>
      </c>
      <c r="U5" s="58">
        <f t="shared" si="6"/>
        <v>0</v>
      </c>
      <c r="V5" s="58">
        <f t="shared" si="7"/>
        <v>1</v>
      </c>
      <c r="Z5" s="10">
        <v>68</v>
      </c>
      <c r="AA5" s="10">
        <v>84</v>
      </c>
      <c r="AB5" s="10">
        <v>11</v>
      </c>
      <c r="AC5" s="10">
        <v>62</v>
      </c>
    </row>
    <row r="6" spans="1:29">
      <c r="A6" s="6" t="s">
        <v>10</v>
      </c>
      <c r="B6">
        <v>0</v>
      </c>
      <c r="C6" s="16">
        <f t="shared" si="0"/>
        <v>0</v>
      </c>
      <c r="E6" s="6" t="s">
        <v>7</v>
      </c>
      <c r="F6" s="6" t="s">
        <v>9</v>
      </c>
      <c r="G6" s="8">
        <v>4</v>
      </c>
      <c r="H6" s="16">
        <f t="shared" si="1"/>
        <v>1</v>
      </c>
      <c r="N6" s="6" t="s">
        <v>10</v>
      </c>
      <c r="O6" s="58">
        <v>0</v>
      </c>
      <c r="P6" s="58">
        <f t="shared" si="2"/>
        <v>0</v>
      </c>
      <c r="Q6">
        <v>0</v>
      </c>
      <c r="R6" s="58">
        <f t="shared" si="3"/>
        <v>0</v>
      </c>
      <c r="S6" s="58">
        <f t="shared" si="4"/>
        <v>1</v>
      </c>
      <c r="T6" s="58">
        <f t="shared" si="5"/>
        <v>0</v>
      </c>
      <c r="U6" s="58">
        <f t="shared" si="6"/>
        <v>0</v>
      </c>
      <c r="V6" s="58">
        <f t="shared" si="7"/>
        <v>0</v>
      </c>
    </row>
    <row r="7" spans="1:29">
      <c r="A7" s="6" t="s">
        <v>11</v>
      </c>
      <c r="B7">
        <v>0</v>
      </c>
      <c r="C7" s="16">
        <f t="shared" si="0"/>
        <v>0</v>
      </c>
      <c r="E7" s="6" t="s">
        <v>10</v>
      </c>
      <c r="F7" s="6" t="s">
        <v>8</v>
      </c>
      <c r="G7" s="8">
        <v>0</v>
      </c>
      <c r="H7" s="16">
        <f t="shared" si="1"/>
        <v>0</v>
      </c>
      <c r="N7" s="6" t="s">
        <v>11</v>
      </c>
      <c r="O7" s="58">
        <v>0</v>
      </c>
      <c r="P7" s="58">
        <f t="shared" si="2"/>
        <v>0</v>
      </c>
      <c r="Q7">
        <v>0</v>
      </c>
      <c r="R7" s="58">
        <f t="shared" si="3"/>
        <v>0</v>
      </c>
      <c r="S7" s="58">
        <f t="shared" si="4"/>
        <v>1</v>
      </c>
      <c r="T7" s="58">
        <f t="shared" si="5"/>
        <v>0</v>
      </c>
      <c r="U7" s="58">
        <f t="shared" si="6"/>
        <v>0</v>
      </c>
      <c r="V7" s="58">
        <f t="shared" si="7"/>
        <v>0</v>
      </c>
    </row>
    <row r="8" spans="1:29">
      <c r="A8" s="6" t="s">
        <v>12</v>
      </c>
      <c r="B8">
        <v>5</v>
      </c>
      <c r="C8" s="16">
        <f t="shared" si="0"/>
        <v>1</v>
      </c>
      <c r="E8" s="6" t="s">
        <v>10</v>
      </c>
      <c r="F8" s="6" t="s">
        <v>9</v>
      </c>
      <c r="G8" s="8">
        <v>0</v>
      </c>
      <c r="H8" s="16">
        <f t="shared" si="1"/>
        <v>0</v>
      </c>
      <c r="N8" s="6" t="s">
        <v>12</v>
      </c>
      <c r="O8" s="58">
        <v>5</v>
      </c>
      <c r="P8" s="58">
        <f t="shared" si="2"/>
        <v>1</v>
      </c>
      <c r="Q8">
        <v>3</v>
      </c>
      <c r="R8" s="58">
        <f t="shared" si="3"/>
        <v>1</v>
      </c>
      <c r="S8" s="58">
        <f t="shared" si="4"/>
        <v>0</v>
      </c>
      <c r="T8" s="58">
        <f t="shared" si="5"/>
        <v>0</v>
      </c>
      <c r="U8" s="58">
        <f t="shared" si="6"/>
        <v>0</v>
      </c>
      <c r="V8" s="58">
        <f t="shared" si="7"/>
        <v>1</v>
      </c>
    </row>
    <row r="9" spans="1:29">
      <c r="A9" s="6" t="s">
        <v>13</v>
      </c>
      <c r="B9">
        <v>0</v>
      </c>
      <c r="C9" s="16">
        <f t="shared" si="0"/>
        <v>0</v>
      </c>
      <c r="E9" s="6" t="s">
        <v>11</v>
      </c>
      <c r="F9" s="6" t="s">
        <v>8</v>
      </c>
      <c r="G9" s="8">
        <v>0</v>
      </c>
      <c r="H9" s="16">
        <f t="shared" si="1"/>
        <v>0</v>
      </c>
      <c r="N9" s="6" t="s">
        <v>13</v>
      </c>
      <c r="O9" s="58">
        <v>0</v>
      </c>
      <c r="P9" s="58">
        <f t="shared" si="2"/>
        <v>0</v>
      </c>
      <c r="Q9">
        <v>7</v>
      </c>
      <c r="R9" s="58">
        <f t="shared" si="3"/>
        <v>1</v>
      </c>
      <c r="S9" s="58">
        <f t="shared" si="4"/>
        <v>0</v>
      </c>
      <c r="T9" s="58">
        <f t="shared" si="5"/>
        <v>0</v>
      </c>
      <c r="U9" s="58">
        <f t="shared" si="6"/>
        <v>1</v>
      </c>
      <c r="V9" s="58">
        <f t="shared" si="7"/>
        <v>0</v>
      </c>
    </row>
    <row r="10" spans="1:29">
      <c r="A10" s="6" t="s">
        <v>14</v>
      </c>
      <c r="B10">
        <v>0</v>
      </c>
      <c r="C10" s="16">
        <f t="shared" si="0"/>
        <v>0</v>
      </c>
      <c r="E10" s="6" t="s">
        <v>11</v>
      </c>
      <c r="F10" s="6" t="s">
        <v>9</v>
      </c>
      <c r="G10" s="8">
        <v>0</v>
      </c>
      <c r="H10" s="16">
        <f t="shared" si="1"/>
        <v>0</v>
      </c>
      <c r="N10" s="6" t="s">
        <v>14</v>
      </c>
      <c r="O10" s="58">
        <v>0</v>
      </c>
      <c r="P10" s="58">
        <f t="shared" si="2"/>
        <v>0</v>
      </c>
      <c r="Q10">
        <v>0</v>
      </c>
      <c r="R10" s="58">
        <f t="shared" si="3"/>
        <v>0</v>
      </c>
      <c r="S10" s="58">
        <f t="shared" si="4"/>
        <v>1</v>
      </c>
      <c r="T10" s="58">
        <f t="shared" si="5"/>
        <v>0</v>
      </c>
      <c r="U10" s="58">
        <f t="shared" si="6"/>
        <v>0</v>
      </c>
      <c r="V10" s="58">
        <f t="shared" si="7"/>
        <v>0</v>
      </c>
    </row>
    <row r="11" spans="1:29">
      <c r="A11" s="6" t="s">
        <v>15</v>
      </c>
      <c r="B11">
        <v>0</v>
      </c>
      <c r="C11" s="16">
        <f t="shared" si="0"/>
        <v>0</v>
      </c>
      <c r="E11" s="6" t="s">
        <v>12</v>
      </c>
      <c r="F11" s="6" t="s">
        <v>8</v>
      </c>
      <c r="G11" s="8">
        <v>0</v>
      </c>
      <c r="H11" s="16">
        <f t="shared" si="1"/>
        <v>0</v>
      </c>
      <c r="N11" s="6" t="s">
        <v>15</v>
      </c>
      <c r="O11" s="58">
        <v>0</v>
      </c>
      <c r="P11" s="58">
        <f t="shared" si="2"/>
        <v>0</v>
      </c>
      <c r="Q11">
        <v>9</v>
      </c>
      <c r="R11" s="58">
        <f t="shared" si="3"/>
        <v>1</v>
      </c>
      <c r="S11" s="58">
        <f t="shared" si="4"/>
        <v>0</v>
      </c>
      <c r="T11" s="58">
        <f t="shared" si="5"/>
        <v>0</v>
      </c>
      <c r="U11" s="58">
        <f t="shared" si="6"/>
        <v>1</v>
      </c>
      <c r="V11" s="58">
        <f t="shared" si="7"/>
        <v>0</v>
      </c>
    </row>
    <row r="12" spans="1:29">
      <c r="A12" s="6" t="s">
        <v>18</v>
      </c>
      <c r="B12">
        <v>43</v>
      </c>
      <c r="C12" s="16">
        <f t="shared" si="0"/>
        <v>1</v>
      </c>
      <c r="E12" s="6" t="s">
        <v>12</v>
      </c>
      <c r="F12" s="6" t="s">
        <v>9</v>
      </c>
      <c r="G12" s="8">
        <v>5</v>
      </c>
      <c r="H12" s="16">
        <f t="shared" si="1"/>
        <v>1</v>
      </c>
      <c r="N12" s="6" t="s">
        <v>18</v>
      </c>
      <c r="O12" s="58">
        <v>43</v>
      </c>
      <c r="P12" s="58">
        <f t="shared" si="2"/>
        <v>1</v>
      </c>
      <c r="Q12">
        <v>61</v>
      </c>
      <c r="R12" s="58">
        <f t="shared" si="3"/>
        <v>1</v>
      </c>
      <c r="S12" s="58">
        <f t="shared" si="4"/>
        <v>0</v>
      </c>
      <c r="T12" s="58">
        <f t="shared" si="5"/>
        <v>0</v>
      </c>
      <c r="U12" s="58">
        <f t="shared" si="6"/>
        <v>0</v>
      </c>
      <c r="V12" s="58">
        <f t="shared" si="7"/>
        <v>1</v>
      </c>
    </row>
    <row r="13" spans="1:29">
      <c r="A13" s="6" t="s">
        <v>20</v>
      </c>
      <c r="B13">
        <v>0</v>
      </c>
      <c r="C13" s="16">
        <f t="shared" si="0"/>
        <v>0</v>
      </c>
      <c r="E13" s="6" t="s">
        <v>13</v>
      </c>
      <c r="F13" s="6" t="s">
        <v>8</v>
      </c>
      <c r="G13" s="8">
        <v>0</v>
      </c>
      <c r="H13" s="16">
        <f t="shared" si="1"/>
        <v>0</v>
      </c>
      <c r="N13" s="6" t="s">
        <v>20</v>
      </c>
      <c r="O13" s="58">
        <v>0</v>
      </c>
      <c r="P13" s="58">
        <f t="shared" si="2"/>
        <v>0</v>
      </c>
      <c r="Q13">
        <v>17</v>
      </c>
      <c r="R13" s="58">
        <f t="shared" si="3"/>
        <v>1</v>
      </c>
      <c r="S13" s="58">
        <f t="shared" si="4"/>
        <v>0</v>
      </c>
      <c r="T13" s="58">
        <f t="shared" si="5"/>
        <v>0</v>
      </c>
      <c r="U13" s="58">
        <f t="shared" si="6"/>
        <v>1</v>
      </c>
      <c r="V13" s="58">
        <f t="shared" si="7"/>
        <v>0</v>
      </c>
    </row>
    <row r="14" spans="1:29">
      <c r="A14" s="6" t="s">
        <v>21</v>
      </c>
      <c r="B14">
        <v>0</v>
      </c>
      <c r="C14" s="16">
        <f t="shared" si="0"/>
        <v>0</v>
      </c>
      <c r="E14" s="6" t="s">
        <v>13</v>
      </c>
      <c r="F14" s="6" t="s">
        <v>9</v>
      </c>
      <c r="G14" s="8">
        <v>0</v>
      </c>
      <c r="H14" s="16">
        <f t="shared" si="1"/>
        <v>0</v>
      </c>
      <c r="N14" s="6" t="s">
        <v>21</v>
      </c>
      <c r="O14" s="58">
        <v>0</v>
      </c>
      <c r="P14" s="58">
        <f t="shared" si="2"/>
        <v>0</v>
      </c>
      <c r="Q14">
        <v>0</v>
      </c>
      <c r="R14" s="58">
        <f t="shared" si="3"/>
        <v>0</v>
      </c>
      <c r="S14" s="58">
        <f t="shared" si="4"/>
        <v>1</v>
      </c>
      <c r="T14" s="58">
        <f t="shared" si="5"/>
        <v>0</v>
      </c>
      <c r="U14" s="58">
        <f t="shared" si="6"/>
        <v>0</v>
      </c>
      <c r="V14" s="58">
        <f t="shared" si="7"/>
        <v>0</v>
      </c>
    </row>
    <row r="15" spans="1:29">
      <c r="A15" s="6" t="s">
        <v>22</v>
      </c>
      <c r="B15">
        <v>1</v>
      </c>
      <c r="C15" s="16">
        <f t="shared" si="0"/>
        <v>1</v>
      </c>
      <c r="E15" s="6" t="s">
        <v>14</v>
      </c>
      <c r="F15" s="6" t="s">
        <v>8</v>
      </c>
      <c r="G15" s="8">
        <v>0</v>
      </c>
      <c r="H15" s="16">
        <f t="shared" si="1"/>
        <v>0</v>
      </c>
      <c r="N15" s="6" t="s">
        <v>22</v>
      </c>
      <c r="O15" s="58">
        <v>1</v>
      </c>
      <c r="P15" s="58">
        <f t="shared" si="2"/>
        <v>1</v>
      </c>
      <c r="Q15">
        <v>1</v>
      </c>
      <c r="R15" s="58">
        <f t="shared" si="3"/>
        <v>1</v>
      </c>
      <c r="S15" s="58">
        <f t="shared" si="4"/>
        <v>0</v>
      </c>
      <c r="T15" s="58">
        <f t="shared" si="5"/>
        <v>0</v>
      </c>
      <c r="U15" s="58">
        <f t="shared" si="6"/>
        <v>0</v>
      </c>
      <c r="V15" s="58">
        <f t="shared" si="7"/>
        <v>1</v>
      </c>
    </row>
    <row r="16" spans="1:29">
      <c r="A16" s="6" t="s">
        <v>23</v>
      </c>
      <c r="B16">
        <v>0</v>
      </c>
      <c r="C16" s="16">
        <f t="shared" si="0"/>
        <v>0</v>
      </c>
      <c r="E16" s="6" t="s">
        <v>14</v>
      </c>
      <c r="F16" s="6" t="s">
        <v>9</v>
      </c>
      <c r="G16" s="8">
        <v>0</v>
      </c>
      <c r="H16" s="16">
        <f t="shared" si="1"/>
        <v>0</v>
      </c>
      <c r="N16" s="6" t="s">
        <v>23</v>
      </c>
      <c r="O16" s="58">
        <v>0</v>
      </c>
      <c r="P16" s="58">
        <f t="shared" si="2"/>
        <v>0</v>
      </c>
      <c r="Q16">
        <v>14</v>
      </c>
      <c r="R16" s="58">
        <f t="shared" si="3"/>
        <v>1</v>
      </c>
      <c r="S16" s="58">
        <f t="shared" si="4"/>
        <v>0</v>
      </c>
      <c r="T16" s="58">
        <f t="shared" si="5"/>
        <v>0</v>
      </c>
      <c r="U16" s="58">
        <f t="shared" si="6"/>
        <v>1</v>
      </c>
      <c r="V16" s="58">
        <f t="shared" si="7"/>
        <v>0</v>
      </c>
    </row>
    <row r="17" spans="1:24">
      <c r="A17" s="6" t="s">
        <v>24</v>
      </c>
      <c r="B17">
        <v>5</v>
      </c>
      <c r="C17" s="16">
        <f t="shared" si="0"/>
        <v>1</v>
      </c>
      <c r="E17" s="6" t="s">
        <v>15</v>
      </c>
      <c r="F17" s="6" t="s">
        <v>16</v>
      </c>
      <c r="G17" s="8">
        <v>0</v>
      </c>
      <c r="H17" s="16">
        <f t="shared" si="1"/>
        <v>0</v>
      </c>
      <c r="N17" s="6" t="s">
        <v>24</v>
      </c>
      <c r="O17" s="58">
        <v>5</v>
      </c>
      <c r="P17" s="58">
        <f t="shared" si="2"/>
        <v>1</v>
      </c>
      <c r="Q17">
        <v>3</v>
      </c>
      <c r="R17" s="58">
        <f t="shared" si="3"/>
        <v>1</v>
      </c>
      <c r="S17" s="58">
        <f t="shared" si="4"/>
        <v>0</v>
      </c>
      <c r="T17" s="58">
        <f t="shared" si="5"/>
        <v>0</v>
      </c>
      <c r="U17" s="58">
        <f t="shared" si="6"/>
        <v>0</v>
      </c>
      <c r="V17" s="58">
        <f t="shared" si="7"/>
        <v>1</v>
      </c>
    </row>
    <row r="18" spans="1:24">
      <c r="A18" s="6" t="s">
        <v>25</v>
      </c>
      <c r="B18">
        <v>5</v>
      </c>
      <c r="C18" s="16">
        <f t="shared" si="0"/>
        <v>1</v>
      </c>
      <c r="E18" s="6" t="s">
        <v>15</v>
      </c>
      <c r="F18" s="6" t="s">
        <v>17</v>
      </c>
      <c r="G18" s="8">
        <v>0</v>
      </c>
      <c r="H18" s="16">
        <f t="shared" si="1"/>
        <v>0</v>
      </c>
      <c r="N18" s="6" t="s">
        <v>25</v>
      </c>
      <c r="O18" s="58">
        <v>5</v>
      </c>
      <c r="P18" s="58">
        <f t="shared" si="2"/>
        <v>1</v>
      </c>
      <c r="Q18">
        <v>4</v>
      </c>
      <c r="R18" s="58">
        <f t="shared" si="3"/>
        <v>1</v>
      </c>
      <c r="S18" s="58">
        <f t="shared" si="4"/>
        <v>0</v>
      </c>
      <c r="T18" s="58">
        <f t="shared" si="5"/>
        <v>0</v>
      </c>
      <c r="U18" s="58">
        <f t="shared" si="6"/>
        <v>0</v>
      </c>
      <c r="V18" s="58">
        <f t="shared" si="7"/>
        <v>1</v>
      </c>
    </row>
    <row r="19" spans="1:24">
      <c r="A19" s="6" t="s">
        <v>26</v>
      </c>
      <c r="B19">
        <v>0</v>
      </c>
      <c r="C19" s="16">
        <f t="shared" si="0"/>
        <v>0</v>
      </c>
      <c r="E19" s="6" t="s">
        <v>15</v>
      </c>
      <c r="F19" s="6" t="s">
        <v>8</v>
      </c>
      <c r="G19" s="8">
        <v>0</v>
      </c>
      <c r="H19" s="16">
        <f t="shared" si="1"/>
        <v>0</v>
      </c>
      <c r="N19" s="6" t="s">
        <v>26</v>
      </c>
      <c r="O19" s="58">
        <v>0</v>
      </c>
      <c r="P19" s="58">
        <f t="shared" si="2"/>
        <v>0</v>
      </c>
      <c r="Q19">
        <v>1</v>
      </c>
      <c r="R19" s="58">
        <f t="shared" si="3"/>
        <v>1</v>
      </c>
      <c r="S19" s="58">
        <f t="shared" si="4"/>
        <v>0</v>
      </c>
      <c r="T19" s="58">
        <f t="shared" si="5"/>
        <v>0</v>
      </c>
      <c r="U19" s="58">
        <f t="shared" si="6"/>
        <v>1</v>
      </c>
      <c r="V19" s="58">
        <f t="shared" si="7"/>
        <v>0</v>
      </c>
    </row>
    <row r="20" spans="1:24">
      <c r="A20" s="6" t="s">
        <v>27</v>
      </c>
      <c r="B20">
        <v>3</v>
      </c>
      <c r="C20" s="16">
        <f t="shared" si="0"/>
        <v>1</v>
      </c>
      <c r="E20" s="6" t="s">
        <v>15</v>
      </c>
      <c r="F20" s="6" t="s">
        <v>9</v>
      </c>
      <c r="G20" s="8">
        <v>0</v>
      </c>
      <c r="H20" s="16">
        <f t="shared" si="1"/>
        <v>0</v>
      </c>
      <c r="N20" s="6" t="s">
        <v>27</v>
      </c>
      <c r="O20" s="58">
        <v>3</v>
      </c>
      <c r="P20" s="58">
        <f t="shared" si="2"/>
        <v>1</v>
      </c>
      <c r="Q20">
        <v>2</v>
      </c>
      <c r="R20" s="58">
        <f t="shared" si="3"/>
        <v>1</v>
      </c>
      <c r="S20" s="58">
        <f t="shared" si="4"/>
        <v>0</v>
      </c>
      <c r="T20" s="58">
        <f t="shared" si="5"/>
        <v>0</v>
      </c>
      <c r="U20" s="58">
        <f t="shared" si="6"/>
        <v>0</v>
      </c>
      <c r="V20" s="58">
        <f t="shared" si="7"/>
        <v>1</v>
      </c>
    </row>
    <row r="21" spans="1:24">
      <c r="A21" s="6" t="s">
        <v>28</v>
      </c>
      <c r="B21">
        <v>0</v>
      </c>
      <c r="C21" s="16">
        <f t="shared" si="0"/>
        <v>0</v>
      </c>
      <c r="E21" s="6" t="s">
        <v>18</v>
      </c>
      <c r="F21" s="6" t="s">
        <v>16</v>
      </c>
      <c r="G21" s="8">
        <v>19</v>
      </c>
      <c r="H21" s="16">
        <f t="shared" si="1"/>
        <v>1</v>
      </c>
      <c r="N21" s="6" t="s">
        <v>28</v>
      </c>
      <c r="O21" s="58">
        <v>0</v>
      </c>
      <c r="P21" s="58">
        <f t="shared" si="2"/>
        <v>0</v>
      </c>
      <c r="Q21">
        <v>5</v>
      </c>
      <c r="R21" s="58">
        <f t="shared" si="3"/>
        <v>1</v>
      </c>
      <c r="S21" s="58">
        <f t="shared" si="4"/>
        <v>0</v>
      </c>
      <c r="T21" s="58">
        <f t="shared" si="5"/>
        <v>0</v>
      </c>
      <c r="U21" s="58">
        <f t="shared" si="6"/>
        <v>1</v>
      </c>
      <c r="V21" s="58">
        <f t="shared" si="7"/>
        <v>0</v>
      </c>
    </row>
    <row r="22" spans="1:24">
      <c r="A22" s="6" t="s">
        <v>29</v>
      </c>
      <c r="B22">
        <v>5</v>
      </c>
      <c r="C22" s="16">
        <f t="shared" si="0"/>
        <v>1</v>
      </c>
      <c r="E22" s="6" t="s">
        <v>18</v>
      </c>
      <c r="F22" s="6" t="s">
        <v>17</v>
      </c>
      <c r="G22" s="8">
        <v>9</v>
      </c>
      <c r="H22" s="16">
        <f t="shared" si="1"/>
        <v>1</v>
      </c>
      <c r="N22" s="6" t="s">
        <v>29</v>
      </c>
      <c r="O22" s="58">
        <v>5</v>
      </c>
      <c r="P22" s="58">
        <f t="shared" si="2"/>
        <v>1</v>
      </c>
      <c r="Q22">
        <v>3</v>
      </c>
      <c r="R22" s="58">
        <f t="shared" si="3"/>
        <v>1</v>
      </c>
      <c r="S22" s="58">
        <f t="shared" si="4"/>
        <v>0</v>
      </c>
      <c r="T22" s="58">
        <f t="shared" si="5"/>
        <v>0</v>
      </c>
      <c r="U22" s="58">
        <f t="shared" si="6"/>
        <v>0</v>
      </c>
      <c r="V22" s="58">
        <f t="shared" si="7"/>
        <v>1</v>
      </c>
    </row>
    <row r="23" spans="1:24">
      <c r="A23" s="6" t="s">
        <v>30</v>
      </c>
      <c r="B23">
        <v>1</v>
      </c>
      <c r="C23" s="16">
        <f t="shared" si="0"/>
        <v>1</v>
      </c>
      <c r="E23" s="6" t="s">
        <v>18</v>
      </c>
      <c r="F23" s="6" t="s">
        <v>19</v>
      </c>
      <c r="G23" s="8">
        <v>0</v>
      </c>
      <c r="H23" s="16">
        <f t="shared" si="1"/>
        <v>0</v>
      </c>
      <c r="N23" s="6" t="s">
        <v>30</v>
      </c>
      <c r="O23" s="58">
        <v>1</v>
      </c>
      <c r="P23" s="58">
        <f t="shared" si="2"/>
        <v>1</v>
      </c>
      <c r="Q23">
        <v>0</v>
      </c>
      <c r="R23" s="58">
        <f t="shared" si="3"/>
        <v>0</v>
      </c>
      <c r="S23" s="58">
        <f t="shared" si="4"/>
        <v>0</v>
      </c>
      <c r="T23" s="58">
        <f t="shared" si="5"/>
        <v>1</v>
      </c>
      <c r="U23" s="58">
        <f t="shared" si="6"/>
        <v>0</v>
      </c>
      <c r="V23" s="58">
        <f t="shared" si="7"/>
        <v>0</v>
      </c>
    </row>
    <row r="24" spans="1:24">
      <c r="A24" s="6" t="s">
        <v>31</v>
      </c>
      <c r="B24">
        <v>0</v>
      </c>
      <c r="C24" s="16">
        <f t="shared" si="0"/>
        <v>0</v>
      </c>
      <c r="E24" s="6" t="s">
        <v>18</v>
      </c>
      <c r="F24" s="6" t="s">
        <v>8</v>
      </c>
      <c r="G24" s="8">
        <v>15</v>
      </c>
      <c r="H24" s="16">
        <f t="shared" si="1"/>
        <v>1</v>
      </c>
      <c r="N24" s="6" t="s">
        <v>31</v>
      </c>
      <c r="O24" s="58">
        <v>0</v>
      </c>
      <c r="P24" s="58">
        <f t="shared" si="2"/>
        <v>0</v>
      </c>
      <c r="Q24">
        <v>0</v>
      </c>
      <c r="R24" s="58">
        <f t="shared" si="3"/>
        <v>0</v>
      </c>
      <c r="S24" s="58">
        <f t="shared" si="4"/>
        <v>1</v>
      </c>
      <c r="T24" s="58">
        <f t="shared" si="5"/>
        <v>0</v>
      </c>
      <c r="U24" s="58">
        <f t="shared" si="6"/>
        <v>0</v>
      </c>
      <c r="V24" s="58">
        <f t="shared" si="7"/>
        <v>0</v>
      </c>
    </row>
    <row r="25" spans="1:24">
      <c r="A25" s="6" t="s">
        <v>32</v>
      </c>
      <c r="B25">
        <v>1</v>
      </c>
      <c r="C25" s="16">
        <f t="shared" si="0"/>
        <v>1</v>
      </c>
      <c r="E25" s="6" t="s">
        <v>18</v>
      </c>
      <c r="F25" s="6" t="s">
        <v>9</v>
      </c>
      <c r="G25" s="8">
        <v>0</v>
      </c>
      <c r="H25" s="16">
        <f t="shared" si="1"/>
        <v>0</v>
      </c>
      <c r="N25" s="6" t="s">
        <v>32</v>
      </c>
      <c r="O25" s="58">
        <v>1</v>
      </c>
      <c r="P25" s="58">
        <f t="shared" si="2"/>
        <v>1</v>
      </c>
      <c r="Q25">
        <v>24</v>
      </c>
      <c r="R25" s="58">
        <f t="shared" si="3"/>
        <v>1</v>
      </c>
      <c r="S25" s="58">
        <f t="shared" si="4"/>
        <v>0</v>
      </c>
      <c r="T25" s="58">
        <f t="shared" si="5"/>
        <v>0</v>
      </c>
      <c r="U25" s="58">
        <f t="shared" si="6"/>
        <v>0</v>
      </c>
      <c r="V25" s="58">
        <f t="shared" si="7"/>
        <v>1</v>
      </c>
    </row>
    <row r="26" spans="1:24">
      <c r="A26" s="6" t="s">
        <v>33</v>
      </c>
      <c r="B26">
        <v>0</v>
      </c>
      <c r="C26" s="16">
        <f t="shared" si="0"/>
        <v>0</v>
      </c>
      <c r="E26" s="6" t="s">
        <v>20</v>
      </c>
      <c r="F26" s="6" t="s">
        <v>17</v>
      </c>
      <c r="G26" s="8">
        <v>0</v>
      </c>
      <c r="H26" s="16">
        <f t="shared" si="1"/>
        <v>0</v>
      </c>
      <c r="N26" s="6" t="s">
        <v>33</v>
      </c>
      <c r="O26" s="58">
        <v>0</v>
      </c>
      <c r="P26" s="58">
        <f t="shared" si="2"/>
        <v>0</v>
      </c>
      <c r="Q26">
        <v>1</v>
      </c>
      <c r="R26" s="58">
        <f t="shared" si="3"/>
        <v>1</v>
      </c>
      <c r="S26" s="58">
        <f t="shared" si="4"/>
        <v>0</v>
      </c>
      <c r="T26" s="58">
        <f t="shared" si="5"/>
        <v>0</v>
      </c>
      <c r="U26" s="58">
        <f t="shared" si="6"/>
        <v>1</v>
      </c>
      <c r="V26" s="58">
        <f t="shared" si="7"/>
        <v>0</v>
      </c>
    </row>
    <row r="27" spans="1:24">
      <c r="A27" s="6" t="s">
        <v>34</v>
      </c>
      <c r="B27">
        <v>0</v>
      </c>
      <c r="C27" s="16">
        <f t="shared" si="0"/>
        <v>0</v>
      </c>
      <c r="E27" s="6" t="s">
        <v>20</v>
      </c>
      <c r="F27" s="6" t="s">
        <v>8</v>
      </c>
      <c r="G27" s="8">
        <v>0</v>
      </c>
      <c r="H27" s="16">
        <f t="shared" si="1"/>
        <v>0</v>
      </c>
      <c r="N27" s="6" t="s">
        <v>34</v>
      </c>
      <c r="O27" s="58">
        <v>0</v>
      </c>
      <c r="P27" s="58">
        <f t="shared" si="2"/>
        <v>0</v>
      </c>
      <c r="Q27">
        <v>1</v>
      </c>
      <c r="R27" s="58">
        <f t="shared" si="3"/>
        <v>1</v>
      </c>
      <c r="S27" s="58">
        <f t="shared" si="4"/>
        <v>0</v>
      </c>
      <c r="T27" s="58">
        <f t="shared" si="5"/>
        <v>0</v>
      </c>
      <c r="U27" s="58">
        <f t="shared" si="6"/>
        <v>1</v>
      </c>
      <c r="V27" s="58">
        <f t="shared" si="7"/>
        <v>0</v>
      </c>
    </row>
    <row r="28" spans="1:24">
      <c r="A28" s="6" t="s">
        <v>35</v>
      </c>
      <c r="B28">
        <v>0</v>
      </c>
      <c r="C28" s="16">
        <f t="shared" si="0"/>
        <v>0</v>
      </c>
      <c r="E28" s="6" t="s">
        <v>20</v>
      </c>
      <c r="F28" s="6" t="s">
        <v>9</v>
      </c>
      <c r="G28" s="8">
        <v>0</v>
      </c>
      <c r="H28" s="16">
        <f t="shared" si="1"/>
        <v>0</v>
      </c>
      <c r="N28" s="6" t="s">
        <v>35</v>
      </c>
      <c r="O28" s="58">
        <v>0</v>
      </c>
      <c r="P28" s="58">
        <f t="shared" si="2"/>
        <v>0</v>
      </c>
      <c r="Q28">
        <v>0</v>
      </c>
      <c r="R28" s="58">
        <f t="shared" si="3"/>
        <v>0</v>
      </c>
      <c r="S28" s="58">
        <f t="shared" si="4"/>
        <v>1</v>
      </c>
      <c r="T28" s="58">
        <f t="shared" si="5"/>
        <v>0</v>
      </c>
      <c r="U28" s="58">
        <f t="shared" si="6"/>
        <v>0</v>
      </c>
      <c r="V28" s="58">
        <f t="shared" si="7"/>
        <v>0</v>
      </c>
    </row>
    <row r="29" spans="1:24">
      <c r="A29" s="6" t="s">
        <v>36</v>
      </c>
      <c r="B29">
        <v>0</v>
      </c>
      <c r="C29" s="16">
        <f t="shared" si="0"/>
        <v>0</v>
      </c>
      <c r="E29" s="6" t="s">
        <v>21</v>
      </c>
      <c r="F29" s="6" t="s">
        <v>19</v>
      </c>
      <c r="G29" s="8">
        <v>0</v>
      </c>
      <c r="H29" s="16">
        <f t="shared" si="1"/>
        <v>0</v>
      </c>
      <c r="N29" s="6" t="s">
        <v>36</v>
      </c>
      <c r="O29" s="58">
        <v>0</v>
      </c>
      <c r="P29" s="58">
        <f t="shared" si="2"/>
        <v>0</v>
      </c>
      <c r="Q29">
        <v>0</v>
      </c>
      <c r="R29" s="58">
        <f t="shared" si="3"/>
        <v>0</v>
      </c>
      <c r="S29" s="58">
        <f t="shared" si="4"/>
        <v>1</v>
      </c>
      <c r="T29" s="58">
        <f t="shared" si="5"/>
        <v>0</v>
      </c>
      <c r="U29" s="58">
        <f t="shared" si="6"/>
        <v>0</v>
      </c>
      <c r="V29" s="58">
        <f t="shared" si="7"/>
        <v>0</v>
      </c>
    </row>
    <row r="30" spans="1:24">
      <c r="A30" s="6" t="s">
        <v>37</v>
      </c>
      <c r="B30">
        <v>138</v>
      </c>
      <c r="C30" s="16">
        <f t="shared" si="0"/>
        <v>1</v>
      </c>
      <c r="E30" s="6" t="s">
        <v>22</v>
      </c>
      <c r="F30" s="6" t="s">
        <v>8</v>
      </c>
      <c r="G30" s="8">
        <v>1</v>
      </c>
      <c r="H30" s="16">
        <f t="shared" si="1"/>
        <v>1</v>
      </c>
      <c r="N30" s="6" t="s">
        <v>37</v>
      </c>
      <c r="O30" s="58">
        <v>138</v>
      </c>
      <c r="P30" s="58">
        <f t="shared" si="2"/>
        <v>1</v>
      </c>
      <c r="Q30">
        <v>10</v>
      </c>
      <c r="R30" s="58">
        <f t="shared" si="3"/>
        <v>1</v>
      </c>
      <c r="S30" s="58">
        <f t="shared" si="4"/>
        <v>0</v>
      </c>
      <c r="T30" s="58">
        <f t="shared" si="5"/>
        <v>0</v>
      </c>
      <c r="U30" s="58">
        <f t="shared" si="6"/>
        <v>0</v>
      </c>
      <c r="V30" s="58">
        <f t="shared" si="7"/>
        <v>1</v>
      </c>
    </row>
    <row r="31" spans="1:24">
      <c r="A31" s="6" t="s">
        <v>38</v>
      </c>
      <c r="B31">
        <v>10</v>
      </c>
      <c r="C31" s="16">
        <f t="shared" si="0"/>
        <v>1</v>
      </c>
      <c r="E31" s="6" t="s">
        <v>22</v>
      </c>
      <c r="F31" s="6" t="s">
        <v>9</v>
      </c>
      <c r="G31" s="8">
        <v>0</v>
      </c>
      <c r="H31" s="16">
        <f t="shared" si="1"/>
        <v>0</v>
      </c>
      <c r="N31" s="6" t="s">
        <v>38</v>
      </c>
      <c r="O31" s="58">
        <v>10</v>
      </c>
      <c r="P31" s="58">
        <f t="shared" si="2"/>
        <v>1</v>
      </c>
      <c r="Q31">
        <v>3</v>
      </c>
      <c r="R31" s="58">
        <f t="shared" si="3"/>
        <v>1</v>
      </c>
      <c r="S31" s="58">
        <f t="shared" si="4"/>
        <v>0</v>
      </c>
      <c r="T31" s="58">
        <f t="shared" si="5"/>
        <v>0</v>
      </c>
      <c r="U31" s="58">
        <f t="shared" si="6"/>
        <v>0</v>
      </c>
      <c r="V31" s="58">
        <f t="shared" si="7"/>
        <v>1</v>
      </c>
    </row>
    <row r="32" spans="1:24" ht="12.9">
      <c r="A32" s="6" t="s">
        <v>39</v>
      </c>
      <c r="B32">
        <v>0</v>
      </c>
      <c r="C32" s="16">
        <f t="shared" si="0"/>
        <v>0</v>
      </c>
      <c r="E32" s="6" t="s">
        <v>23</v>
      </c>
      <c r="F32" s="6" t="s">
        <v>8</v>
      </c>
      <c r="G32" s="8">
        <v>0</v>
      </c>
      <c r="H32" s="16">
        <f t="shared" si="1"/>
        <v>0</v>
      </c>
      <c r="N32" s="6" t="s">
        <v>39</v>
      </c>
      <c r="O32" s="58">
        <v>0</v>
      </c>
      <c r="P32" s="58">
        <f t="shared" si="2"/>
        <v>0</v>
      </c>
      <c r="Q32">
        <v>3</v>
      </c>
      <c r="R32" s="58">
        <f t="shared" si="3"/>
        <v>1</v>
      </c>
      <c r="S32" s="58">
        <f t="shared" si="4"/>
        <v>0</v>
      </c>
      <c r="T32" s="58">
        <f t="shared" si="5"/>
        <v>0</v>
      </c>
      <c r="U32" s="58">
        <f t="shared" si="6"/>
        <v>1</v>
      </c>
      <c r="V32" s="58">
        <f t="shared" si="7"/>
        <v>0</v>
      </c>
      <c r="X32" s="59"/>
    </row>
    <row r="33" spans="1:22">
      <c r="A33" s="6" t="s">
        <v>40</v>
      </c>
      <c r="B33">
        <v>0</v>
      </c>
      <c r="C33" s="16">
        <f t="shared" si="0"/>
        <v>0</v>
      </c>
      <c r="E33" s="6" t="s">
        <v>23</v>
      </c>
      <c r="F33" s="6" t="s">
        <v>9</v>
      </c>
      <c r="G33" s="8">
        <v>0</v>
      </c>
      <c r="H33" s="16">
        <f t="shared" si="1"/>
        <v>0</v>
      </c>
      <c r="N33" s="6" t="s">
        <v>40</v>
      </c>
      <c r="O33" s="58">
        <v>0</v>
      </c>
      <c r="P33" s="58">
        <f t="shared" si="2"/>
        <v>0</v>
      </c>
      <c r="Q33">
        <v>46</v>
      </c>
      <c r="R33" s="58">
        <f t="shared" si="3"/>
        <v>1</v>
      </c>
      <c r="S33" s="58">
        <f t="shared" si="4"/>
        <v>0</v>
      </c>
      <c r="T33" s="58">
        <f t="shared" si="5"/>
        <v>0</v>
      </c>
      <c r="U33" s="58">
        <f t="shared" si="6"/>
        <v>1</v>
      </c>
      <c r="V33" s="58">
        <f t="shared" si="7"/>
        <v>0</v>
      </c>
    </row>
    <row r="34" spans="1:22">
      <c r="A34" s="6" t="s">
        <v>41</v>
      </c>
      <c r="B34">
        <v>86</v>
      </c>
      <c r="C34" s="16">
        <f t="shared" si="0"/>
        <v>1</v>
      </c>
      <c r="E34" s="6" t="s">
        <v>24</v>
      </c>
      <c r="F34" s="6" t="s">
        <v>8</v>
      </c>
      <c r="G34" s="8">
        <v>0</v>
      </c>
      <c r="H34" s="16">
        <f t="shared" si="1"/>
        <v>0</v>
      </c>
      <c r="N34" s="6" t="s">
        <v>41</v>
      </c>
      <c r="O34" s="58">
        <v>86</v>
      </c>
      <c r="P34" s="58">
        <f t="shared" si="2"/>
        <v>1</v>
      </c>
      <c r="Q34">
        <v>15</v>
      </c>
      <c r="R34" s="58">
        <f t="shared" si="3"/>
        <v>1</v>
      </c>
      <c r="S34" s="58">
        <f t="shared" si="4"/>
        <v>0</v>
      </c>
      <c r="T34" s="58">
        <f t="shared" si="5"/>
        <v>0</v>
      </c>
      <c r="U34" s="58">
        <f t="shared" si="6"/>
        <v>0</v>
      </c>
      <c r="V34" s="58">
        <f t="shared" si="7"/>
        <v>1</v>
      </c>
    </row>
    <row r="35" spans="1:22">
      <c r="A35" s="6" t="s">
        <v>42</v>
      </c>
      <c r="B35">
        <v>6</v>
      </c>
      <c r="C35" s="16">
        <f t="shared" si="0"/>
        <v>1</v>
      </c>
      <c r="E35" s="6" t="s">
        <v>24</v>
      </c>
      <c r="F35" s="6" t="s">
        <v>9</v>
      </c>
      <c r="G35" s="8">
        <v>5</v>
      </c>
      <c r="H35" s="16">
        <f t="shared" si="1"/>
        <v>1</v>
      </c>
      <c r="N35" s="6" t="s">
        <v>42</v>
      </c>
      <c r="O35" s="58">
        <v>6</v>
      </c>
      <c r="P35" s="58">
        <f t="shared" si="2"/>
        <v>1</v>
      </c>
      <c r="Q35">
        <v>8</v>
      </c>
      <c r="R35" s="58">
        <f t="shared" si="3"/>
        <v>1</v>
      </c>
      <c r="S35" s="58">
        <f t="shared" si="4"/>
        <v>0</v>
      </c>
      <c r="T35" s="58">
        <f t="shared" si="5"/>
        <v>0</v>
      </c>
      <c r="U35" s="58">
        <f t="shared" si="6"/>
        <v>0</v>
      </c>
      <c r="V35" s="58">
        <f t="shared" si="7"/>
        <v>1</v>
      </c>
    </row>
    <row r="36" spans="1:22">
      <c r="A36" s="6" t="s">
        <v>43</v>
      </c>
      <c r="B36">
        <v>0</v>
      </c>
      <c r="C36" s="16">
        <f t="shared" si="0"/>
        <v>0</v>
      </c>
      <c r="E36" s="6" t="s">
        <v>25</v>
      </c>
      <c r="F36" s="6" t="s">
        <v>19</v>
      </c>
      <c r="G36" s="8">
        <v>5</v>
      </c>
      <c r="H36" s="16">
        <f t="shared" si="1"/>
        <v>1</v>
      </c>
      <c r="N36" s="6" t="s">
        <v>43</v>
      </c>
      <c r="O36" s="58">
        <v>0</v>
      </c>
      <c r="P36" s="58">
        <f t="shared" si="2"/>
        <v>0</v>
      </c>
      <c r="Q36">
        <v>0</v>
      </c>
      <c r="R36" s="58">
        <f t="shared" si="3"/>
        <v>0</v>
      </c>
      <c r="S36" s="58">
        <f t="shared" si="4"/>
        <v>1</v>
      </c>
      <c r="T36" s="58">
        <f t="shared" si="5"/>
        <v>0</v>
      </c>
      <c r="U36" s="58">
        <f t="shared" si="6"/>
        <v>0</v>
      </c>
      <c r="V36" s="58">
        <f t="shared" si="7"/>
        <v>0</v>
      </c>
    </row>
    <row r="37" spans="1:22">
      <c r="A37" s="6" t="s">
        <v>44</v>
      </c>
      <c r="B37">
        <v>0</v>
      </c>
      <c r="C37" s="16">
        <f t="shared" si="0"/>
        <v>0</v>
      </c>
      <c r="E37" s="6" t="s">
        <v>25</v>
      </c>
      <c r="F37" s="6" t="s">
        <v>8</v>
      </c>
      <c r="G37" s="8">
        <v>0</v>
      </c>
      <c r="H37" s="16">
        <f t="shared" si="1"/>
        <v>0</v>
      </c>
      <c r="N37" s="6" t="s">
        <v>44</v>
      </c>
      <c r="O37" s="58">
        <v>0</v>
      </c>
      <c r="P37" s="58">
        <f t="shared" si="2"/>
        <v>0</v>
      </c>
      <c r="Q37">
        <v>25</v>
      </c>
      <c r="R37" s="58">
        <f t="shared" si="3"/>
        <v>1</v>
      </c>
      <c r="S37" s="58">
        <f t="shared" si="4"/>
        <v>0</v>
      </c>
      <c r="T37" s="58">
        <f t="shared" si="5"/>
        <v>0</v>
      </c>
      <c r="U37" s="58">
        <f t="shared" si="6"/>
        <v>1</v>
      </c>
      <c r="V37" s="58">
        <f t="shared" si="7"/>
        <v>0</v>
      </c>
    </row>
    <row r="38" spans="1:22">
      <c r="A38" s="6" t="s">
        <v>47</v>
      </c>
      <c r="B38">
        <v>9</v>
      </c>
      <c r="C38" s="16">
        <f t="shared" si="0"/>
        <v>1</v>
      </c>
      <c r="E38" s="6" t="s">
        <v>25</v>
      </c>
      <c r="F38" s="6" t="s">
        <v>9</v>
      </c>
      <c r="G38" s="8">
        <v>0</v>
      </c>
      <c r="H38" s="16">
        <f t="shared" si="1"/>
        <v>0</v>
      </c>
      <c r="N38" s="6" t="s">
        <v>47</v>
      </c>
      <c r="O38" s="58">
        <v>9</v>
      </c>
      <c r="P38" s="58">
        <f t="shared" si="2"/>
        <v>1</v>
      </c>
      <c r="Q38">
        <v>1</v>
      </c>
      <c r="R38" s="58">
        <f t="shared" si="3"/>
        <v>1</v>
      </c>
      <c r="S38" s="58">
        <f t="shared" si="4"/>
        <v>0</v>
      </c>
      <c r="T38" s="58">
        <f t="shared" si="5"/>
        <v>0</v>
      </c>
      <c r="U38" s="58">
        <f t="shared" si="6"/>
        <v>0</v>
      </c>
      <c r="V38" s="58">
        <f t="shared" si="7"/>
        <v>1</v>
      </c>
    </row>
    <row r="39" spans="1:22">
      <c r="A39" s="6" t="s">
        <v>49</v>
      </c>
      <c r="B39">
        <v>0</v>
      </c>
      <c r="C39" s="16">
        <f t="shared" si="0"/>
        <v>0</v>
      </c>
      <c r="E39" s="6" t="s">
        <v>26</v>
      </c>
      <c r="F39" s="6" t="s">
        <v>8</v>
      </c>
      <c r="G39" s="8">
        <v>0</v>
      </c>
      <c r="H39" s="16">
        <f t="shared" si="1"/>
        <v>0</v>
      </c>
      <c r="N39" s="6" t="s">
        <v>49</v>
      </c>
      <c r="O39" s="58">
        <v>0</v>
      </c>
      <c r="P39" s="58">
        <f t="shared" si="2"/>
        <v>0</v>
      </c>
      <c r="Q39">
        <v>0</v>
      </c>
      <c r="R39" s="58">
        <f t="shared" si="3"/>
        <v>0</v>
      </c>
      <c r="S39" s="58">
        <f t="shared" si="4"/>
        <v>1</v>
      </c>
      <c r="T39" s="58">
        <f t="shared" si="5"/>
        <v>0</v>
      </c>
      <c r="U39" s="58">
        <f t="shared" si="6"/>
        <v>0</v>
      </c>
      <c r="V39" s="58">
        <f t="shared" si="7"/>
        <v>0</v>
      </c>
    </row>
    <row r="40" spans="1:22">
      <c r="A40" s="6" t="s">
        <v>51</v>
      </c>
      <c r="B40">
        <v>3</v>
      </c>
      <c r="C40" s="16">
        <f t="shared" si="0"/>
        <v>1</v>
      </c>
      <c r="E40" s="6" t="s">
        <v>26</v>
      </c>
      <c r="F40" s="6" t="s">
        <v>9</v>
      </c>
      <c r="G40" s="8">
        <v>0</v>
      </c>
      <c r="H40" s="16">
        <f t="shared" si="1"/>
        <v>0</v>
      </c>
      <c r="N40" s="6" t="s">
        <v>51</v>
      </c>
      <c r="O40" s="58">
        <v>3</v>
      </c>
      <c r="P40" s="58">
        <f t="shared" si="2"/>
        <v>1</v>
      </c>
      <c r="Q40">
        <v>0</v>
      </c>
      <c r="R40" s="58">
        <f t="shared" si="3"/>
        <v>0</v>
      </c>
      <c r="S40" s="58">
        <f t="shared" si="4"/>
        <v>0</v>
      </c>
      <c r="T40" s="58">
        <f t="shared" si="5"/>
        <v>1</v>
      </c>
      <c r="U40" s="58">
        <f t="shared" si="6"/>
        <v>0</v>
      </c>
      <c r="V40" s="58">
        <f t="shared" si="7"/>
        <v>0</v>
      </c>
    </row>
    <row r="41" spans="1:22">
      <c r="A41" s="6" t="s">
        <v>53</v>
      </c>
      <c r="B41">
        <v>3</v>
      </c>
      <c r="C41" s="16">
        <f t="shared" si="0"/>
        <v>1</v>
      </c>
      <c r="E41" s="6" t="s">
        <v>27</v>
      </c>
      <c r="F41" s="6" t="s">
        <v>16</v>
      </c>
      <c r="G41" s="8">
        <v>3</v>
      </c>
      <c r="H41" s="16">
        <f t="shared" si="1"/>
        <v>1</v>
      </c>
      <c r="N41" s="6" t="s">
        <v>53</v>
      </c>
      <c r="O41" s="58">
        <v>3</v>
      </c>
      <c r="P41" s="58">
        <f t="shared" si="2"/>
        <v>1</v>
      </c>
      <c r="Q41">
        <v>4</v>
      </c>
      <c r="R41" s="58">
        <f t="shared" si="3"/>
        <v>1</v>
      </c>
      <c r="S41" s="58">
        <f t="shared" si="4"/>
        <v>0</v>
      </c>
      <c r="T41" s="58">
        <f t="shared" si="5"/>
        <v>0</v>
      </c>
      <c r="U41" s="58">
        <f t="shared" si="6"/>
        <v>0</v>
      </c>
      <c r="V41" s="58">
        <f t="shared" si="7"/>
        <v>1</v>
      </c>
    </row>
    <row r="42" spans="1:22">
      <c r="A42" s="6" t="s">
        <v>57</v>
      </c>
      <c r="B42">
        <v>2</v>
      </c>
      <c r="C42" s="16">
        <f t="shared" si="0"/>
        <v>1</v>
      </c>
      <c r="E42" s="6" t="s">
        <v>27</v>
      </c>
      <c r="F42" s="6" t="s">
        <v>17</v>
      </c>
      <c r="G42" s="8">
        <v>0</v>
      </c>
      <c r="H42" s="16">
        <f t="shared" si="1"/>
        <v>0</v>
      </c>
      <c r="N42" s="6" t="s">
        <v>57</v>
      </c>
      <c r="O42" s="58">
        <v>2</v>
      </c>
      <c r="P42" s="58">
        <f t="shared" si="2"/>
        <v>1</v>
      </c>
      <c r="Q42">
        <v>0</v>
      </c>
      <c r="R42" s="58">
        <f t="shared" si="3"/>
        <v>0</v>
      </c>
      <c r="S42" s="58">
        <f t="shared" si="4"/>
        <v>0</v>
      </c>
      <c r="T42" s="58">
        <f t="shared" si="5"/>
        <v>1</v>
      </c>
      <c r="U42" s="58">
        <f t="shared" si="6"/>
        <v>0</v>
      </c>
      <c r="V42" s="58">
        <f t="shared" si="7"/>
        <v>0</v>
      </c>
    </row>
    <row r="43" spans="1:22">
      <c r="A43" s="6" t="s">
        <v>59</v>
      </c>
      <c r="B43">
        <v>3</v>
      </c>
      <c r="C43" s="16">
        <f t="shared" si="0"/>
        <v>1</v>
      </c>
      <c r="E43" s="6" t="s">
        <v>27</v>
      </c>
      <c r="F43" s="6" t="s">
        <v>8</v>
      </c>
      <c r="G43" s="8">
        <v>0</v>
      </c>
      <c r="H43" s="16">
        <f t="shared" si="1"/>
        <v>0</v>
      </c>
      <c r="N43" s="6" t="s">
        <v>59</v>
      </c>
      <c r="O43" s="58">
        <v>3</v>
      </c>
      <c r="P43" s="58">
        <f t="shared" si="2"/>
        <v>1</v>
      </c>
      <c r="Q43">
        <v>5</v>
      </c>
      <c r="R43" s="58">
        <f t="shared" si="3"/>
        <v>1</v>
      </c>
      <c r="S43" s="58">
        <f t="shared" si="4"/>
        <v>0</v>
      </c>
      <c r="T43" s="58">
        <f t="shared" si="5"/>
        <v>0</v>
      </c>
      <c r="U43" s="58">
        <f t="shared" si="6"/>
        <v>0</v>
      </c>
      <c r="V43" s="58">
        <f t="shared" si="7"/>
        <v>1</v>
      </c>
    </row>
    <row r="44" spans="1:22">
      <c r="A44" s="6" t="s">
        <v>60</v>
      </c>
      <c r="B44">
        <v>3</v>
      </c>
      <c r="C44" s="16">
        <f t="shared" si="0"/>
        <v>1</v>
      </c>
      <c r="E44" s="6" t="s">
        <v>27</v>
      </c>
      <c r="F44" s="6" t="s">
        <v>9</v>
      </c>
      <c r="G44" s="8">
        <v>0</v>
      </c>
      <c r="H44" s="16">
        <f t="shared" si="1"/>
        <v>0</v>
      </c>
      <c r="N44" s="6" t="s">
        <v>60</v>
      </c>
      <c r="O44" s="58">
        <v>3</v>
      </c>
      <c r="P44" s="58">
        <f t="shared" si="2"/>
        <v>1</v>
      </c>
      <c r="Q44">
        <v>2</v>
      </c>
      <c r="R44" s="58">
        <f t="shared" si="3"/>
        <v>1</v>
      </c>
      <c r="S44" s="58">
        <f t="shared" si="4"/>
        <v>0</v>
      </c>
      <c r="T44" s="58">
        <f t="shared" si="5"/>
        <v>0</v>
      </c>
      <c r="U44" s="58">
        <f t="shared" si="6"/>
        <v>0</v>
      </c>
      <c r="V44" s="58">
        <f t="shared" si="7"/>
        <v>1</v>
      </c>
    </row>
    <row r="45" spans="1:22">
      <c r="A45" s="6" t="s">
        <v>61</v>
      </c>
      <c r="B45">
        <v>92</v>
      </c>
      <c r="C45" s="16">
        <f t="shared" si="0"/>
        <v>1</v>
      </c>
      <c r="E45" s="6" t="s">
        <v>28</v>
      </c>
      <c r="F45" s="6" t="s">
        <v>8</v>
      </c>
      <c r="G45" s="8">
        <v>0</v>
      </c>
      <c r="H45" s="16">
        <f t="shared" si="1"/>
        <v>0</v>
      </c>
      <c r="N45" s="6" t="s">
        <v>61</v>
      </c>
      <c r="O45" s="58">
        <v>92</v>
      </c>
      <c r="P45" s="58">
        <f t="shared" si="2"/>
        <v>1</v>
      </c>
      <c r="Q45">
        <v>0</v>
      </c>
      <c r="R45" s="58">
        <f t="shared" si="3"/>
        <v>0</v>
      </c>
      <c r="S45" s="58">
        <f t="shared" si="4"/>
        <v>0</v>
      </c>
      <c r="T45" s="58">
        <f t="shared" si="5"/>
        <v>1</v>
      </c>
      <c r="U45" s="58">
        <f t="shared" si="6"/>
        <v>0</v>
      </c>
      <c r="V45" s="58">
        <f t="shared" si="7"/>
        <v>0</v>
      </c>
    </row>
    <row r="46" spans="1:22">
      <c r="A46" s="6" t="s">
        <v>63</v>
      </c>
      <c r="B46">
        <v>12</v>
      </c>
      <c r="C46" s="16">
        <f t="shared" si="0"/>
        <v>1</v>
      </c>
      <c r="E46" s="6" t="s">
        <v>28</v>
      </c>
      <c r="F46" s="6" t="s">
        <v>9</v>
      </c>
      <c r="G46" s="8">
        <v>0</v>
      </c>
      <c r="H46" s="16">
        <f t="shared" si="1"/>
        <v>0</v>
      </c>
      <c r="N46" s="6" t="s">
        <v>63</v>
      </c>
      <c r="O46" s="58">
        <v>12</v>
      </c>
      <c r="P46" s="58">
        <f t="shared" si="2"/>
        <v>1</v>
      </c>
      <c r="Q46">
        <v>6</v>
      </c>
      <c r="R46" s="58">
        <f t="shared" si="3"/>
        <v>1</v>
      </c>
      <c r="S46" s="58">
        <f t="shared" si="4"/>
        <v>0</v>
      </c>
      <c r="T46" s="58">
        <f t="shared" si="5"/>
        <v>0</v>
      </c>
      <c r="U46" s="58">
        <f t="shared" si="6"/>
        <v>0</v>
      </c>
      <c r="V46" s="58">
        <f t="shared" si="7"/>
        <v>1</v>
      </c>
    </row>
    <row r="47" spans="1:22">
      <c r="A47" s="6" t="s">
        <v>65</v>
      </c>
      <c r="B47">
        <v>0</v>
      </c>
      <c r="C47" s="16">
        <f t="shared" si="0"/>
        <v>0</v>
      </c>
      <c r="E47" s="6" t="s">
        <v>29</v>
      </c>
      <c r="F47" s="6" t="s">
        <v>8</v>
      </c>
      <c r="G47" s="8">
        <v>0</v>
      </c>
      <c r="H47" s="16">
        <f t="shared" si="1"/>
        <v>0</v>
      </c>
      <c r="N47" s="6" t="s">
        <v>65</v>
      </c>
      <c r="O47" s="58">
        <v>0</v>
      </c>
      <c r="P47" s="58">
        <f t="shared" si="2"/>
        <v>0</v>
      </c>
      <c r="Q47">
        <v>0</v>
      </c>
      <c r="R47" s="58">
        <f t="shared" si="3"/>
        <v>0</v>
      </c>
      <c r="S47" s="58">
        <f t="shared" si="4"/>
        <v>1</v>
      </c>
      <c r="T47" s="58">
        <f t="shared" si="5"/>
        <v>0</v>
      </c>
      <c r="U47" s="58">
        <f t="shared" si="6"/>
        <v>0</v>
      </c>
      <c r="V47" s="58">
        <f t="shared" si="7"/>
        <v>0</v>
      </c>
    </row>
    <row r="48" spans="1:22">
      <c r="A48" s="6" t="s">
        <v>67</v>
      </c>
      <c r="B48">
        <v>2</v>
      </c>
      <c r="C48" s="16">
        <f t="shared" si="0"/>
        <v>1</v>
      </c>
      <c r="E48" s="6" t="s">
        <v>29</v>
      </c>
      <c r="F48" s="6" t="s">
        <v>9</v>
      </c>
      <c r="G48" s="8">
        <v>5</v>
      </c>
      <c r="H48" s="16">
        <f t="shared" si="1"/>
        <v>1</v>
      </c>
      <c r="N48" s="6" t="s">
        <v>67</v>
      </c>
      <c r="O48" s="58">
        <v>2</v>
      </c>
      <c r="P48" s="58">
        <f t="shared" si="2"/>
        <v>1</v>
      </c>
      <c r="Q48">
        <v>7</v>
      </c>
      <c r="R48" s="58">
        <f t="shared" si="3"/>
        <v>1</v>
      </c>
      <c r="S48" s="58">
        <f t="shared" si="4"/>
        <v>0</v>
      </c>
      <c r="T48" s="58">
        <f t="shared" si="5"/>
        <v>0</v>
      </c>
      <c r="U48" s="58">
        <f t="shared" si="6"/>
        <v>0</v>
      </c>
      <c r="V48" s="58">
        <f t="shared" si="7"/>
        <v>1</v>
      </c>
    </row>
    <row r="49" spans="1:22">
      <c r="A49" s="6" t="s">
        <v>68</v>
      </c>
      <c r="B49">
        <v>3</v>
      </c>
      <c r="C49" s="16">
        <f t="shared" si="0"/>
        <v>1</v>
      </c>
      <c r="E49" s="6" t="s">
        <v>30</v>
      </c>
      <c r="F49" s="6" t="s">
        <v>8</v>
      </c>
      <c r="G49" s="8">
        <v>1</v>
      </c>
      <c r="H49" s="16">
        <f t="shared" si="1"/>
        <v>1</v>
      </c>
      <c r="N49" s="6" t="s">
        <v>68</v>
      </c>
      <c r="O49" s="58">
        <v>3</v>
      </c>
      <c r="P49" s="58">
        <f t="shared" si="2"/>
        <v>1</v>
      </c>
      <c r="Q49">
        <v>6</v>
      </c>
      <c r="R49" s="58">
        <f t="shared" si="3"/>
        <v>1</v>
      </c>
      <c r="S49" s="58">
        <f t="shared" si="4"/>
        <v>0</v>
      </c>
      <c r="T49" s="58">
        <f t="shared" si="5"/>
        <v>0</v>
      </c>
      <c r="U49" s="58">
        <f t="shared" si="6"/>
        <v>0</v>
      </c>
      <c r="V49" s="58">
        <f t="shared" si="7"/>
        <v>1</v>
      </c>
    </row>
    <row r="50" spans="1:22">
      <c r="A50" s="6" t="s">
        <v>69</v>
      </c>
      <c r="B50">
        <v>0</v>
      </c>
      <c r="C50" s="16">
        <f t="shared" si="0"/>
        <v>0</v>
      </c>
      <c r="E50" s="6" t="s">
        <v>30</v>
      </c>
      <c r="F50" s="6" t="s">
        <v>9</v>
      </c>
      <c r="G50" s="8">
        <v>0</v>
      </c>
      <c r="H50" s="16">
        <f t="shared" si="1"/>
        <v>0</v>
      </c>
      <c r="N50" s="6" t="s">
        <v>69</v>
      </c>
      <c r="O50" s="58">
        <v>0</v>
      </c>
      <c r="P50" s="58">
        <f t="shared" si="2"/>
        <v>0</v>
      </c>
      <c r="Q50">
        <v>0</v>
      </c>
      <c r="R50" s="58">
        <f t="shared" si="3"/>
        <v>0</v>
      </c>
      <c r="S50" s="58">
        <f t="shared" si="4"/>
        <v>1</v>
      </c>
      <c r="T50" s="58">
        <f t="shared" si="5"/>
        <v>0</v>
      </c>
      <c r="U50" s="58">
        <f t="shared" si="6"/>
        <v>0</v>
      </c>
      <c r="V50" s="58">
        <f t="shared" si="7"/>
        <v>0</v>
      </c>
    </row>
    <row r="51" spans="1:22">
      <c r="A51" s="6" t="s">
        <v>71</v>
      </c>
      <c r="B51">
        <v>20</v>
      </c>
      <c r="C51" s="16">
        <f t="shared" si="0"/>
        <v>1</v>
      </c>
      <c r="E51" s="6" t="s">
        <v>31</v>
      </c>
      <c r="F51" s="6" t="s">
        <v>8</v>
      </c>
      <c r="G51" s="8">
        <v>0</v>
      </c>
      <c r="H51" s="16">
        <f t="shared" si="1"/>
        <v>0</v>
      </c>
      <c r="N51" s="6" t="s">
        <v>71</v>
      </c>
      <c r="O51" s="58">
        <v>20</v>
      </c>
      <c r="P51" s="58">
        <f t="shared" si="2"/>
        <v>1</v>
      </c>
      <c r="Q51">
        <v>4</v>
      </c>
      <c r="R51" s="58">
        <f t="shared" si="3"/>
        <v>1</v>
      </c>
      <c r="S51" s="58">
        <f t="shared" si="4"/>
        <v>0</v>
      </c>
      <c r="T51" s="58">
        <f t="shared" si="5"/>
        <v>0</v>
      </c>
      <c r="U51" s="58">
        <f t="shared" si="6"/>
        <v>0</v>
      </c>
      <c r="V51" s="58">
        <f t="shared" si="7"/>
        <v>1</v>
      </c>
    </row>
    <row r="52" spans="1:22">
      <c r="A52" s="6" t="s">
        <v>73</v>
      </c>
      <c r="B52">
        <v>8</v>
      </c>
      <c r="C52" s="16">
        <f t="shared" si="0"/>
        <v>1</v>
      </c>
      <c r="E52" s="6" t="s">
        <v>32</v>
      </c>
      <c r="F52" s="6" t="s">
        <v>8</v>
      </c>
      <c r="G52" s="8">
        <v>1</v>
      </c>
      <c r="H52" s="16">
        <f t="shared" si="1"/>
        <v>1</v>
      </c>
      <c r="N52" s="6" t="s">
        <v>73</v>
      </c>
      <c r="O52" s="58">
        <v>8</v>
      </c>
      <c r="P52" s="58">
        <f t="shared" si="2"/>
        <v>1</v>
      </c>
      <c r="Q52">
        <v>0</v>
      </c>
      <c r="R52" s="58">
        <f t="shared" si="3"/>
        <v>0</v>
      </c>
      <c r="S52" s="58">
        <f t="shared" si="4"/>
        <v>0</v>
      </c>
      <c r="T52" s="58">
        <f t="shared" si="5"/>
        <v>1</v>
      </c>
      <c r="U52" s="58">
        <f t="shared" si="6"/>
        <v>0</v>
      </c>
      <c r="V52" s="58">
        <f t="shared" si="7"/>
        <v>0</v>
      </c>
    </row>
    <row r="53" spans="1:22">
      <c r="A53" s="6" t="s">
        <v>75</v>
      </c>
      <c r="B53">
        <v>2</v>
      </c>
      <c r="C53" s="16">
        <f t="shared" si="0"/>
        <v>1</v>
      </c>
      <c r="E53" s="6" t="s">
        <v>32</v>
      </c>
      <c r="F53" s="6" t="s">
        <v>9</v>
      </c>
      <c r="G53" s="8">
        <v>0</v>
      </c>
      <c r="H53" s="16">
        <f t="shared" si="1"/>
        <v>0</v>
      </c>
      <c r="N53" s="6" t="s">
        <v>75</v>
      </c>
      <c r="O53" s="58">
        <v>2</v>
      </c>
      <c r="P53" s="58">
        <f t="shared" si="2"/>
        <v>1</v>
      </c>
      <c r="Q53">
        <v>1</v>
      </c>
      <c r="R53" s="58">
        <f t="shared" si="3"/>
        <v>1</v>
      </c>
      <c r="S53" s="58">
        <f t="shared" si="4"/>
        <v>0</v>
      </c>
      <c r="T53" s="58">
        <f t="shared" si="5"/>
        <v>0</v>
      </c>
      <c r="U53" s="58">
        <f t="shared" si="6"/>
        <v>0</v>
      </c>
      <c r="V53" s="58">
        <f t="shared" si="7"/>
        <v>1</v>
      </c>
    </row>
    <row r="54" spans="1:22">
      <c r="A54" s="6" t="s">
        <v>77</v>
      </c>
      <c r="B54">
        <v>0</v>
      </c>
      <c r="C54" s="16">
        <f t="shared" si="0"/>
        <v>0</v>
      </c>
      <c r="E54" s="6" t="s">
        <v>33</v>
      </c>
      <c r="F54" s="6" t="s">
        <v>8</v>
      </c>
      <c r="G54" s="8">
        <v>0</v>
      </c>
      <c r="H54" s="16">
        <f t="shared" si="1"/>
        <v>0</v>
      </c>
      <c r="N54" s="6" t="s">
        <v>77</v>
      </c>
      <c r="O54" s="58">
        <v>0</v>
      </c>
      <c r="P54" s="58">
        <f t="shared" si="2"/>
        <v>0</v>
      </c>
      <c r="Q54">
        <v>1</v>
      </c>
      <c r="R54" s="58">
        <f t="shared" si="3"/>
        <v>1</v>
      </c>
      <c r="S54" s="58">
        <f t="shared" si="4"/>
        <v>0</v>
      </c>
      <c r="T54" s="58">
        <f t="shared" si="5"/>
        <v>0</v>
      </c>
      <c r="U54" s="58">
        <f t="shared" si="6"/>
        <v>1</v>
      </c>
      <c r="V54" s="58">
        <f t="shared" si="7"/>
        <v>0</v>
      </c>
    </row>
    <row r="55" spans="1:22">
      <c r="A55" s="6" t="s">
        <v>78</v>
      </c>
      <c r="B55">
        <v>0</v>
      </c>
      <c r="C55" s="16">
        <f t="shared" si="0"/>
        <v>0</v>
      </c>
      <c r="E55" s="6" t="s">
        <v>33</v>
      </c>
      <c r="F55" s="6" t="s">
        <v>9</v>
      </c>
      <c r="G55" s="8">
        <v>0</v>
      </c>
      <c r="H55" s="16">
        <f t="shared" si="1"/>
        <v>0</v>
      </c>
      <c r="N55" s="6" t="s">
        <v>78</v>
      </c>
      <c r="O55" s="58">
        <v>0</v>
      </c>
      <c r="P55" s="58">
        <f t="shared" si="2"/>
        <v>0</v>
      </c>
      <c r="Q55">
        <v>12</v>
      </c>
      <c r="R55" s="58">
        <f t="shared" si="3"/>
        <v>1</v>
      </c>
      <c r="S55" s="58">
        <f t="shared" si="4"/>
        <v>0</v>
      </c>
      <c r="T55" s="58">
        <f t="shared" si="5"/>
        <v>0</v>
      </c>
      <c r="U55" s="58">
        <f t="shared" si="6"/>
        <v>1</v>
      </c>
      <c r="V55" s="58">
        <f t="shared" si="7"/>
        <v>0</v>
      </c>
    </row>
    <row r="56" spans="1:22">
      <c r="A56" s="6" t="s">
        <v>81</v>
      </c>
      <c r="B56">
        <v>0</v>
      </c>
      <c r="C56" s="16">
        <f t="shared" si="0"/>
        <v>0</v>
      </c>
      <c r="E56" s="6" t="s">
        <v>34</v>
      </c>
      <c r="F56" s="6" t="s">
        <v>8</v>
      </c>
      <c r="G56" s="8">
        <v>0</v>
      </c>
      <c r="H56" s="16">
        <f t="shared" si="1"/>
        <v>0</v>
      </c>
      <c r="N56" s="6" t="s">
        <v>81</v>
      </c>
      <c r="O56" s="58">
        <v>0</v>
      </c>
      <c r="P56" s="58">
        <f t="shared" si="2"/>
        <v>0</v>
      </c>
      <c r="Q56">
        <v>30</v>
      </c>
      <c r="R56" s="58">
        <f t="shared" si="3"/>
        <v>1</v>
      </c>
      <c r="S56" s="58">
        <f t="shared" si="4"/>
        <v>0</v>
      </c>
      <c r="T56" s="58">
        <f t="shared" si="5"/>
        <v>0</v>
      </c>
      <c r="U56" s="58">
        <f t="shared" si="6"/>
        <v>1</v>
      </c>
      <c r="V56" s="58">
        <f t="shared" si="7"/>
        <v>0</v>
      </c>
    </row>
    <row r="57" spans="1:22">
      <c r="A57" s="6" t="s">
        <v>85</v>
      </c>
      <c r="B57">
        <v>0</v>
      </c>
      <c r="C57" s="16">
        <f t="shared" si="0"/>
        <v>0</v>
      </c>
      <c r="E57" s="6" t="s">
        <v>35</v>
      </c>
      <c r="F57" s="6" t="s">
        <v>8</v>
      </c>
      <c r="G57" s="8">
        <v>0</v>
      </c>
      <c r="H57" s="16">
        <f t="shared" si="1"/>
        <v>0</v>
      </c>
      <c r="N57" s="6" t="s">
        <v>85</v>
      </c>
      <c r="O57" s="58">
        <v>0</v>
      </c>
      <c r="P57" s="58">
        <f t="shared" si="2"/>
        <v>0</v>
      </c>
      <c r="Q57">
        <v>25</v>
      </c>
      <c r="R57" s="58">
        <f t="shared" si="3"/>
        <v>1</v>
      </c>
      <c r="S57" s="58">
        <f t="shared" si="4"/>
        <v>0</v>
      </c>
      <c r="T57" s="58">
        <f t="shared" si="5"/>
        <v>0</v>
      </c>
      <c r="U57" s="58">
        <f t="shared" si="6"/>
        <v>1</v>
      </c>
      <c r="V57" s="58">
        <f t="shared" si="7"/>
        <v>0</v>
      </c>
    </row>
    <row r="58" spans="1:22">
      <c r="A58" s="6" t="s">
        <v>87</v>
      </c>
      <c r="B58">
        <v>0</v>
      </c>
      <c r="C58" s="16">
        <f t="shared" si="0"/>
        <v>0</v>
      </c>
      <c r="E58" s="6" t="s">
        <v>35</v>
      </c>
      <c r="F58" s="6" t="s">
        <v>9</v>
      </c>
      <c r="G58" s="8">
        <v>0</v>
      </c>
      <c r="H58" s="16">
        <f t="shared" si="1"/>
        <v>0</v>
      </c>
      <c r="N58" s="6" t="s">
        <v>87</v>
      </c>
      <c r="O58" s="58">
        <v>0</v>
      </c>
      <c r="P58" s="58">
        <f t="shared" si="2"/>
        <v>0</v>
      </c>
      <c r="Q58">
        <v>1</v>
      </c>
      <c r="R58" s="58">
        <f t="shared" si="3"/>
        <v>1</v>
      </c>
      <c r="S58" s="58">
        <f t="shared" si="4"/>
        <v>0</v>
      </c>
      <c r="T58" s="58">
        <f t="shared" si="5"/>
        <v>0</v>
      </c>
      <c r="U58" s="58">
        <f t="shared" si="6"/>
        <v>1</v>
      </c>
      <c r="V58" s="58">
        <f t="shared" si="7"/>
        <v>0</v>
      </c>
    </row>
    <row r="59" spans="1:22">
      <c r="A59" s="6" t="s">
        <v>89</v>
      </c>
      <c r="B59">
        <v>0</v>
      </c>
      <c r="C59" s="16">
        <f t="shared" si="0"/>
        <v>0</v>
      </c>
      <c r="E59" s="6" t="s">
        <v>36</v>
      </c>
      <c r="F59" s="6" t="s">
        <v>8</v>
      </c>
      <c r="G59" s="8">
        <v>0</v>
      </c>
      <c r="H59" s="16">
        <f t="shared" si="1"/>
        <v>0</v>
      </c>
      <c r="N59" s="6" t="s">
        <v>89</v>
      </c>
      <c r="O59" s="58">
        <v>0</v>
      </c>
      <c r="P59" s="58">
        <f t="shared" si="2"/>
        <v>0</v>
      </c>
      <c r="Q59">
        <v>38</v>
      </c>
      <c r="R59" s="58">
        <f t="shared" si="3"/>
        <v>1</v>
      </c>
      <c r="S59" s="58">
        <f t="shared" si="4"/>
        <v>0</v>
      </c>
      <c r="T59" s="58">
        <f t="shared" si="5"/>
        <v>0</v>
      </c>
      <c r="U59" s="58">
        <f t="shared" si="6"/>
        <v>1</v>
      </c>
      <c r="V59" s="58">
        <f t="shared" si="7"/>
        <v>0</v>
      </c>
    </row>
    <row r="60" spans="1:22">
      <c r="A60" s="6" t="s">
        <v>93</v>
      </c>
      <c r="B60">
        <v>24</v>
      </c>
      <c r="C60" s="16">
        <f t="shared" si="0"/>
        <v>1</v>
      </c>
      <c r="E60" s="6" t="s">
        <v>36</v>
      </c>
      <c r="F60" s="6" t="s">
        <v>9</v>
      </c>
      <c r="G60" s="8">
        <v>0</v>
      </c>
      <c r="H60" s="16">
        <f t="shared" si="1"/>
        <v>0</v>
      </c>
      <c r="N60" s="6" t="s">
        <v>93</v>
      </c>
      <c r="O60" s="58">
        <v>24</v>
      </c>
      <c r="P60" s="58">
        <f t="shared" si="2"/>
        <v>1</v>
      </c>
      <c r="Q60">
        <v>16</v>
      </c>
      <c r="R60" s="58">
        <f t="shared" si="3"/>
        <v>1</v>
      </c>
      <c r="S60" s="58">
        <f t="shared" si="4"/>
        <v>0</v>
      </c>
      <c r="T60" s="58">
        <f t="shared" si="5"/>
        <v>0</v>
      </c>
      <c r="U60" s="58">
        <f t="shared" si="6"/>
        <v>0</v>
      </c>
      <c r="V60" s="58">
        <f t="shared" si="7"/>
        <v>1</v>
      </c>
    </row>
    <row r="61" spans="1:22">
      <c r="A61" s="6" t="s">
        <v>95</v>
      </c>
      <c r="B61">
        <v>80</v>
      </c>
      <c r="C61" s="16">
        <f t="shared" si="0"/>
        <v>1</v>
      </c>
      <c r="E61" s="6" t="s">
        <v>37</v>
      </c>
      <c r="F61" s="6" t="s">
        <v>16</v>
      </c>
      <c r="G61" s="8">
        <v>40</v>
      </c>
      <c r="H61" s="16">
        <f t="shared" si="1"/>
        <v>1</v>
      </c>
      <c r="N61" s="6" t="s">
        <v>95</v>
      </c>
      <c r="O61" s="58">
        <v>80</v>
      </c>
      <c r="P61" s="58">
        <f t="shared" si="2"/>
        <v>1</v>
      </c>
      <c r="Q61">
        <v>7</v>
      </c>
      <c r="R61" s="58">
        <f t="shared" si="3"/>
        <v>1</v>
      </c>
      <c r="S61" s="58">
        <f t="shared" si="4"/>
        <v>0</v>
      </c>
      <c r="T61" s="58">
        <f t="shared" si="5"/>
        <v>0</v>
      </c>
      <c r="U61" s="58">
        <f t="shared" si="6"/>
        <v>0</v>
      </c>
      <c r="V61" s="58">
        <f t="shared" si="7"/>
        <v>1</v>
      </c>
    </row>
    <row r="62" spans="1:22">
      <c r="A62" s="6" t="s">
        <v>100</v>
      </c>
      <c r="B62">
        <v>41</v>
      </c>
      <c r="C62" s="16">
        <f t="shared" si="0"/>
        <v>1</v>
      </c>
      <c r="E62" s="6" t="s">
        <v>37</v>
      </c>
      <c r="F62" s="6" t="s">
        <v>17</v>
      </c>
      <c r="G62" s="8">
        <v>92</v>
      </c>
      <c r="H62" s="16">
        <f t="shared" si="1"/>
        <v>1</v>
      </c>
      <c r="N62" s="6" t="s">
        <v>100</v>
      </c>
      <c r="O62" s="58">
        <v>41</v>
      </c>
      <c r="P62" s="58">
        <f t="shared" si="2"/>
        <v>1</v>
      </c>
      <c r="Q62">
        <v>12</v>
      </c>
      <c r="R62" s="58">
        <f t="shared" si="3"/>
        <v>1</v>
      </c>
      <c r="S62" s="58">
        <f t="shared" si="4"/>
        <v>0</v>
      </c>
      <c r="T62" s="58">
        <f t="shared" si="5"/>
        <v>0</v>
      </c>
      <c r="U62" s="58">
        <f t="shared" si="6"/>
        <v>0</v>
      </c>
      <c r="V62" s="58">
        <f t="shared" si="7"/>
        <v>1</v>
      </c>
    </row>
    <row r="63" spans="1:22">
      <c r="A63" s="6" t="s">
        <v>104</v>
      </c>
      <c r="B63">
        <v>0</v>
      </c>
      <c r="C63" s="16">
        <f t="shared" si="0"/>
        <v>0</v>
      </c>
      <c r="E63" s="6" t="s">
        <v>37</v>
      </c>
      <c r="F63" s="6" t="s">
        <v>19</v>
      </c>
      <c r="G63" s="8">
        <v>0</v>
      </c>
      <c r="H63" s="16">
        <f t="shared" si="1"/>
        <v>0</v>
      </c>
      <c r="N63" s="6" t="s">
        <v>104</v>
      </c>
      <c r="O63" s="58">
        <v>0</v>
      </c>
      <c r="P63" s="58">
        <f t="shared" si="2"/>
        <v>0</v>
      </c>
      <c r="Q63">
        <v>29</v>
      </c>
      <c r="R63" s="58">
        <f t="shared" si="3"/>
        <v>1</v>
      </c>
      <c r="S63" s="58">
        <f t="shared" si="4"/>
        <v>0</v>
      </c>
      <c r="T63" s="58">
        <f t="shared" si="5"/>
        <v>0</v>
      </c>
      <c r="U63" s="58">
        <f t="shared" si="6"/>
        <v>1</v>
      </c>
      <c r="V63" s="58">
        <f t="shared" si="7"/>
        <v>0</v>
      </c>
    </row>
    <row r="64" spans="1:22">
      <c r="A64" s="6" t="s">
        <v>106</v>
      </c>
      <c r="B64">
        <v>0</v>
      </c>
      <c r="C64" s="16">
        <f t="shared" si="0"/>
        <v>0</v>
      </c>
      <c r="E64" s="6" t="s">
        <v>37</v>
      </c>
      <c r="F64" s="6" t="s">
        <v>8</v>
      </c>
      <c r="G64" s="8">
        <v>6</v>
      </c>
      <c r="H64" s="16">
        <f t="shared" si="1"/>
        <v>1</v>
      </c>
      <c r="N64" s="6" t="s">
        <v>106</v>
      </c>
      <c r="O64" s="58">
        <v>0</v>
      </c>
      <c r="P64" s="58">
        <f t="shared" si="2"/>
        <v>0</v>
      </c>
      <c r="Q64">
        <v>1</v>
      </c>
      <c r="R64" s="58">
        <f t="shared" si="3"/>
        <v>1</v>
      </c>
      <c r="S64" s="58">
        <f t="shared" si="4"/>
        <v>0</v>
      </c>
      <c r="T64" s="58">
        <f t="shared" si="5"/>
        <v>0</v>
      </c>
      <c r="U64" s="58">
        <f t="shared" si="6"/>
        <v>1</v>
      </c>
      <c r="V64" s="58">
        <f t="shared" si="7"/>
        <v>0</v>
      </c>
    </row>
    <row r="65" spans="1:22">
      <c r="A65" s="6" t="s">
        <v>109</v>
      </c>
      <c r="B65">
        <v>4</v>
      </c>
      <c r="C65" s="16">
        <f t="shared" si="0"/>
        <v>1</v>
      </c>
      <c r="E65" s="6" t="s">
        <v>37</v>
      </c>
      <c r="F65" s="6" t="s">
        <v>9</v>
      </c>
      <c r="G65" s="8">
        <v>0</v>
      </c>
      <c r="H65" s="16">
        <f t="shared" si="1"/>
        <v>0</v>
      </c>
      <c r="N65" s="6" t="s">
        <v>109</v>
      </c>
      <c r="O65" s="58">
        <v>4</v>
      </c>
      <c r="P65" s="58">
        <f t="shared" si="2"/>
        <v>1</v>
      </c>
      <c r="Q65">
        <v>30</v>
      </c>
      <c r="R65" s="58">
        <f t="shared" si="3"/>
        <v>1</v>
      </c>
      <c r="S65" s="58">
        <f t="shared" si="4"/>
        <v>0</v>
      </c>
      <c r="T65" s="58">
        <f t="shared" si="5"/>
        <v>0</v>
      </c>
      <c r="U65" s="58">
        <f t="shared" si="6"/>
        <v>0</v>
      </c>
      <c r="V65" s="58">
        <f t="shared" si="7"/>
        <v>1</v>
      </c>
    </row>
    <row r="66" spans="1:22">
      <c r="A66" s="6" t="s">
        <v>115</v>
      </c>
      <c r="B66">
        <v>0</v>
      </c>
      <c r="C66" s="16">
        <f t="shared" si="0"/>
        <v>0</v>
      </c>
      <c r="E66" s="6" t="s">
        <v>38</v>
      </c>
      <c r="F66" s="6" t="s">
        <v>8</v>
      </c>
      <c r="G66" s="8">
        <v>2</v>
      </c>
      <c r="H66" s="16">
        <f t="shared" si="1"/>
        <v>1</v>
      </c>
      <c r="N66" s="6" t="s">
        <v>115</v>
      </c>
      <c r="O66" s="58">
        <v>0</v>
      </c>
      <c r="P66" s="58">
        <f t="shared" si="2"/>
        <v>0</v>
      </c>
      <c r="Q66">
        <v>0</v>
      </c>
      <c r="R66" s="58">
        <f t="shared" si="3"/>
        <v>0</v>
      </c>
      <c r="S66" s="58">
        <f t="shared" si="4"/>
        <v>1</v>
      </c>
      <c r="T66" s="58">
        <f t="shared" si="5"/>
        <v>0</v>
      </c>
      <c r="U66" s="58">
        <f t="shared" si="6"/>
        <v>0</v>
      </c>
      <c r="V66" s="58">
        <f t="shared" si="7"/>
        <v>0</v>
      </c>
    </row>
    <row r="67" spans="1:22">
      <c r="A67" s="6" t="s">
        <v>119</v>
      </c>
      <c r="B67">
        <v>1</v>
      </c>
      <c r="C67" s="16">
        <f t="shared" ref="C67:C130" si="8">IF(B67=0,0,1)</f>
        <v>1</v>
      </c>
      <c r="E67" s="6" t="s">
        <v>38</v>
      </c>
      <c r="F67" s="6" t="s">
        <v>9</v>
      </c>
      <c r="G67" s="8">
        <v>8</v>
      </c>
      <c r="H67" s="16">
        <f t="shared" ref="H67:H130" si="9">IF(G67=0,0,1)</f>
        <v>1</v>
      </c>
      <c r="N67" s="6" t="s">
        <v>119</v>
      </c>
      <c r="O67" s="58">
        <v>1</v>
      </c>
      <c r="P67" s="58">
        <f t="shared" ref="P67:P130" si="10">IF(O67=0,0,1)</f>
        <v>1</v>
      </c>
      <c r="Q67">
        <v>0</v>
      </c>
      <c r="R67" s="58">
        <f t="shared" ref="R67:R130" si="11">IF(Q67=0,0,1)</f>
        <v>0</v>
      </c>
      <c r="S67" s="58">
        <f t="shared" ref="S67:S130" si="12">IF(AND(P67=0,R67 = 0), 1, 0)</f>
        <v>0</v>
      </c>
      <c r="T67" s="58">
        <f t="shared" ref="T67:T130" si="13">IF(AND(P67=1,R67=0),1,0)</f>
        <v>1</v>
      </c>
      <c r="U67" s="58">
        <f t="shared" ref="U67:U130" si="14">IF(AND(P67=0,R67=1),1,0)</f>
        <v>0</v>
      </c>
      <c r="V67" s="58">
        <f t="shared" ref="V67:V130" si="15">IF(AND(P67=1,R67=1),1,0)</f>
        <v>0</v>
      </c>
    </row>
    <row r="68" spans="1:22">
      <c r="A68" s="6" t="s">
        <v>121</v>
      </c>
      <c r="B68">
        <v>1</v>
      </c>
      <c r="C68" s="16">
        <f t="shared" si="8"/>
        <v>1</v>
      </c>
      <c r="E68" s="6" t="s">
        <v>39</v>
      </c>
      <c r="F68" s="6" t="s">
        <v>17</v>
      </c>
      <c r="G68" s="8">
        <v>0</v>
      </c>
      <c r="H68" s="16">
        <f t="shared" si="9"/>
        <v>0</v>
      </c>
      <c r="N68" s="6" t="s">
        <v>121</v>
      </c>
      <c r="O68" s="58">
        <v>1</v>
      </c>
      <c r="P68" s="58">
        <f t="shared" si="10"/>
        <v>1</v>
      </c>
      <c r="Q68">
        <v>6</v>
      </c>
      <c r="R68" s="58">
        <f t="shared" si="11"/>
        <v>1</v>
      </c>
      <c r="S68" s="58">
        <f t="shared" si="12"/>
        <v>0</v>
      </c>
      <c r="T68" s="58">
        <f t="shared" si="13"/>
        <v>0</v>
      </c>
      <c r="U68" s="58">
        <f t="shared" si="14"/>
        <v>0</v>
      </c>
      <c r="V68" s="58">
        <f t="shared" si="15"/>
        <v>1</v>
      </c>
    </row>
    <row r="69" spans="1:22">
      <c r="A69" s="6" t="s">
        <v>123</v>
      </c>
      <c r="B69">
        <v>0</v>
      </c>
      <c r="C69" s="16">
        <f t="shared" si="8"/>
        <v>0</v>
      </c>
      <c r="E69" s="6" t="s">
        <v>39</v>
      </c>
      <c r="F69" s="6" t="s">
        <v>19</v>
      </c>
      <c r="G69" s="8">
        <v>0</v>
      </c>
      <c r="H69" s="16">
        <f t="shared" si="9"/>
        <v>0</v>
      </c>
      <c r="N69" s="6" t="s">
        <v>123</v>
      </c>
      <c r="O69" s="58">
        <v>0</v>
      </c>
      <c r="P69" s="58">
        <f t="shared" si="10"/>
        <v>0</v>
      </c>
      <c r="Q69">
        <v>8</v>
      </c>
      <c r="R69" s="58">
        <f t="shared" si="11"/>
        <v>1</v>
      </c>
      <c r="S69" s="58">
        <f t="shared" si="12"/>
        <v>0</v>
      </c>
      <c r="T69" s="58">
        <f t="shared" si="13"/>
        <v>0</v>
      </c>
      <c r="U69" s="58">
        <f t="shared" si="14"/>
        <v>1</v>
      </c>
      <c r="V69" s="58">
        <f t="shared" si="15"/>
        <v>0</v>
      </c>
    </row>
    <row r="70" spans="1:22">
      <c r="A70" s="6" t="s">
        <v>126</v>
      </c>
      <c r="B70">
        <v>0</v>
      </c>
      <c r="C70" s="16">
        <f t="shared" si="8"/>
        <v>0</v>
      </c>
      <c r="E70" s="6" t="s">
        <v>39</v>
      </c>
      <c r="F70" s="6" t="s">
        <v>8</v>
      </c>
      <c r="G70" s="8">
        <v>0</v>
      </c>
      <c r="H70" s="16">
        <f t="shared" si="9"/>
        <v>0</v>
      </c>
      <c r="N70" s="6" t="s">
        <v>126</v>
      </c>
      <c r="O70" s="58">
        <v>0</v>
      </c>
      <c r="P70" s="58">
        <f t="shared" si="10"/>
        <v>0</v>
      </c>
      <c r="Q70">
        <v>4</v>
      </c>
      <c r="R70" s="58">
        <f t="shared" si="11"/>
        <v>1</v>
      </c>
      <c r="S70" s="58">
        <f t="shared" si="12"/>
        <v>0</v>
      </c>
      <c r="T70" s="58">
        <f t="shared" si="13"/>
        <v>0</v>
      </c>
      <c r="U70" s="58">
        <f t="shared" si="14"/>
        <v>1</v>
      </c>
      <c r="V70" s="58">
        <f t="shared" si="15"/>
        <v>0</v>
      </c>
    </row>
    <row r="71" spans="1:22">
      <c r="A71" s="6" t="s">
        <v>128</v>
      </c>
      <c r="B71">
        <v>4</v>
      </c>
      <c r="C71" s="16">
        <f t="shared" si="8"/>
        <v>1</v>
      </c>
      <c r="E71" s="6" t="s">
        <v>39</v>
      </c>
      <c r="F71" s="6" t="s">
        <v>9</v>
      </c>
      <c r="G71" s="8">
        <v>0</v>
      </c>
      <c r="H71" s="16">
        <f t="shared" si="9"/>
        <v>0</v>
      </c>
      <c r="N71" s="6" t="s">
        <v>128</v>
      </c>
      <c r="O71" s="58">
        <v>4</v>
      </c>
      <c r="P71" s="58">
        <f t="shared" si="10"/>
        <v>1</v>
      </c>
      <c r="Q71">
        <v>2</v>
      </c>
      <c r="R71" s="58">
        <f t="shared" si="11"/>
        <v>1</v>
      </c>
      <c r="S71" s="58">
        <f t="shared" si="12"/>
        <v>0</v>
      </c>
      <c r="T71" s="58">
        <f t="shared" si="13"/>
        <v>0</v>
      </c>
      <c r="U71" s="58">
        <f t="shared" si="14"/>
        <v>0</v>
      </c>
      <c r="V71" s="58">
        <f t="shared" si="15"/>
        <v>1</v>
      </c>
    </row>
    <row r="72" spans="1:22">
      <c r="A72" s="6" t="s">
        <v>130</v>
      </c>
      <c r="B72">
        <v>0</v>
      </c>
      <c r="C72" s="16">
        <f t="shared" si="8"/>
        <v>0</v>
      </c>
      <c r="E72" s="6" t="s">
        <v>40</v>
      </c>
      <c r="F72" s="6" t="s">
        <v>17</v>
      </c>
      <c r="G72" s="8">
        <v>0</v>
      </c>
      <c r="H72" s="16">
        <f t="shared" si="9"/>
        <v>0</v>
      </c>
      <c r="N72" s="6" t="s">
        <v>130</v>
      </c>
      <c r="O72" s="58">
        <v>0</v>
      </c>
      <c r="P72" s="58">
        <f t="shared" si="10"/>
        <v>0</v>
      </c>
      <c r="Q72">
        <v>0</v>
      </c>
      <c r="R72" s="58">
        <f t="shared" si="11"/>
        <v>0</v>
      </c>
      <c r="S72" s="58">
        <f t="shared" si="12"/>
        <v>1</v>
      </c>
      <c r="T72" s="58">
        <f t="shared" si="13"/>
        <v>0</v>
      </c>
      <c r="U72" s="58">
        <f t="shared" si="14"/>
        <v>0</v>
      </c>
      <c r="V72" s="58">
        <f t="shared" si="15"/>
        <v>0</v>
      </c>
    </row>
    <row r="73" spans="1:22">
      <c r="A73" s="6" t="s">
        <v>134</v>
      </c>
      <c r="B73">
        <v>0</v>
      </c>
      <c r="C73" s="16">
        <f t="shared" si="8"/>
        <v>0</v>
      </c>
      <c r="E73" s="6" t="s">
        <v>40</v>
      </c>
      <c r="F73" s="6" t="s">
        <v>8</v>
      </c>
      <c r="G73" s="8">
        <v>0</v>
      </c>
      <c r="H73" s="16">
        <f t="shared" si="9"/>
        <v>0</v>
      </c>
      <c r="N73" s="6" t="s">
        <v>134</v>
      </c>
      <c r="O73" s="58">
        <v>0</v>
      </c>
      <c r="P73" s="58">
        <f t="shared" si="10"/>
        <v>0</v>
      </c>
      <c r="Q73">
        <v>16</v>
      </c>
      <c r="R73" s="58">
        <f t="shared" si="11"/>
        <v>1</v>
      </c>
      <c r="S73" s="58">
        <f t="shared" si="12"/>
        <v>0</v>
      </c>
      <c r="T73" s="58">
        <f t="shared" si="13"/>
        <v>0</v>
      </c>
      <c r="U73" s="58">
        <f t="shared" si="14"/>
        <v>1</v>
      </c>
      <c r="V73" s="58">
        <f t="shared" si="15"/>
        <v>0</v>
      </c>
    </row>
    <row r="74" spans="1:22">
      <c r="A74" s="6" t="s">
        <v>138</v>
      </c>
      <c r="B74">
        <v>0</v>
      </c>
      <c r="C74" s="16">
        <f t="shared" si="8"/>
        <v>0</v>
      </c>
      <c r="E74" s="6" t="s">
        <v>40</v>
      </c>
      <c r="F74" s="6" t="s">
        <v>9</v>
      </c>
      <c r="G74" s="8">
        <v>0</v>
      </c>
      <c r="H74" s="16">
        <f t="shared" si="9"/>
        <v>0</v>
      </c>
      <c r="N74" s="6" t="s">
        <v>138</v>
      </c>
      <c r="O74" s="58">
        <v>0</v>
      </c>
      <c r="P74" s="58">
        <f t="shared" si="10"/>
        <v>0</v>
      </c>
      <c r="Q74">
        <v>4</v>
      </c>
      <c r="R74" s="58">
        <f t="shared" si="11"/>
        <v>1</v>
      </c>
      <c r="S74" s="58">
        <f t="shared" si="12"/>
        <v>0</v>
      </c>
      <c r="T74" s="58">
        <f t="shared" si="13"/>
        <v>0</v>
      </c>
      <c r="U74" s="58">
        <f t="shared" si="14"/>
        <v>1</v>
      </c>
      <c r="V74" s="58">
        <f t="shared" si="15"/>
        <v>0</v>
      </c>
    </row>
    <row r="75" spans="1:22">
      <c r="A75" s="6" t="s">
        <v>141</v>
      </c>
      <c r="B75">
        <v>4</v>
      </c>
      <c r="C75" s="16">
        <f t="shared" si="8"/>
        <v>1</v>
      </c>
      <c r="E75" s="6" t="s">
        <v>41</v>
      </c>
      <c r="F75" s="6" t="s">
        <v>16</v>
      </c>
      <c r="G75" s="8">
        <v>73</v>
      </c>
      <c r="H75" s="16">
        <f t="shared" si="9"/>
        <v>1</v>
      </c>
      <c r="N75" s="6" t="s">
        <v>141</v>
      </c>
      <c r="O75" s="58">
        <v>4</v>
      </c>
      <c r="P75" s="58">
        <f t="shared" si="10"/>
        <v>1</v>
      </c>
      <c r="Q75">
        <v>2</v>
      </c>
      <c r="R75" s="58">
        <f t="shared" si="11"/>
        <v>1</v>
      </c>
      <c r="S75" s="58">
        <f t="shared" si="12"/>
        <v>0</v>
      </c>
      <c r="T75" s="58">
        <f t="shared" si="13"/>
        <v>0</v>
      </c>
      <c r="U75" s="58">
        <f t="shared" si="14"/>
        <v>0</v>
      </c>
      <c r="V75" s="58">
        <f t="shared" si="15"/>
        <v>1</v>
      </c>
    </row>
    <row r="76" spans="1:22">
      <c r="A76" s="6" t="s">
        <v>142</v>
      </c>
      <c r="B76">
        <v>0</v>
      </c>
      <c r="C76" s="16">
        <f t="shared" si="8"/>
        <v>0</v>
      </c>
      <c r="E76" s="6" t="s">
        <v>41</v>
      </c>
      <c r="F76" s="6" t="s">
        <v>8</v>
      </c>
      <c r="G76" s="8">
        <v>0</v>
      </c>
      <c r="H76" s="16">
        <f t="shared" si="9"/>
        <v>0</v>
      </c>
      <c r="N76" s="6" t="s">
        <v>142</v>
      </c>
      <c r="O76" s="58">
        <v>0</v>
      </c>
      <c r="P76" s="58">
        <f t="shared" si="10"/>
        <v>0</v>
      </c>
      <c r="Q76">
        <v>6</v>
      </c>
      <c r="R76" s="58">
        <f t="shared" si="11"/>
        <v>1</v>
      </c>
      <c r="S76" s="58">
        <f t="shared" si="12"/>
        <v>0</v>
      </c>
      <c r="T76" s="58">
        <f t="shared" si="13"/>
        <v>0</v>
      </c>
      <c r="U76" s="58">
        <f t="shared" si="14"/>
        <v>1</v>
      </c>
      <c r="V76" s="58">
        <f t="shared" si="15"/>
        <v>0</v>
      </c>
    </row>
    <row r="77" spans="1:22">
      <c r="A77" s="6" t="s">
        <v>143</v>
      </c>
      <c r="B77">
        <v>0</v>
      </c>
      <c r="C77" s="16">
        <f t="shared" si="8"/>
        <v>0</v>
      </c>
      <c r="E77" s="6" t="s">
        <v>41</v>
      </c>
      <c r="F77" s="6" t="s">
        <v>9</v>
      </c>
      <c r="G77" s="8">
        <v>13</v>
      </c>
      <c r="H77" s="16">
        <f t="shared" si="9"/>
        <v>1</v>
      </c>
      <c r="N77" s="6" t="s">
        <v>143</v>
      </c>
      <c r="O77" s="58">
        <v>0</v>
      </c>
      <c r="P77" s="58">
        <f t="shared" si="10"/>
        <v>0</v>
      </c>
      <c r="Q77">
        <v>27</v>
      </c>
      <c r="R77" s="58">
        <f t="shared" si="11"/>
        <v>1</v>
      </c>
      <c r="S77" s="58">
        <f t="shared" si="12"/>
        <v>0</v>
      </c>
      <c r="T77" s="58">
        <f t="shared" si="13"/>
        <v>0</v>
      </c>
      <c r="U77" s="58">
        <f t="shared" si="14"/>
        <v>1</v>
      </c>
      <c r="V77" s="58">
        <f t="shared" si="15"/>
        <v>0</v>
      </c>
    </row>
    <row r="78" spans="1:22">
      <c r="A78" s="6" t="s">
        <v>149</v>
      </c>
      <c r="B78">
        <v>0</v>
      </c>
      <c r="C78" s="16">
        <f t="shared" si="8"/>
        <v>0</v>
      </c>
      <c r="E78" s="6" t="s">
        <v>42</v>
      </c>
      <c r="F78" s="6" t="s">
        <v>8</v>
      </c>
      <c r="G78" s="8">
        <v>3</v>
      </c>
      <c r="H78" s="16">
        <f t="shared" si="9"/>
        <v>1</v>
      </c>
      <c r="N78" s="6" t="s">
        <v>149</v>
      </c>
      <c r="O78" s="58">
        <v>0</v>
      </c>
      <c r="P78" s="58">
        <f t="shared" si="10"/>
        <v>0</v>
      </c>
      <c r="Q78">
        <v>4</v>
      </c>
      <c r="R78" s="58">
        <f t="shared" si="11"/>
        <v>1</v>
      </c>
      <c r="S78" s="58">
        <f t="shared" si="12"/>
        <v>0</v>
      </c>
      <c r="T78" s="58">
        <f t="shared" si="13"/>
        <v>0</v>
      </c>
      <c r="U78" s="58">
        <f t="shared" si="14"/>
        <v>1</v>
      </c>
      <c r="V78" s="58">
        <f t="shared" si="15"/>
        <v>0</v>
      </c>
    </row>
    <row r="79" spans="1:22">
      <c r="A79" s="6" t="s">
        <v>151</v>
      </c>
      <c r="B79">
        <v>0</v>
      </c>
      <c r="C79" s="16">
        <f t="shared" si="8"/>
        <v>0</v>
      </c>
      <c r="E79" s="6" t="s">
        <v>42</v>
      </c>
      <c r="F79" s="6" t="s">
        <v>9</v>
      </c>
      <c r="G79" s="8">
        <v>3</v>
      </c>
      <c r="H79" s="16">
        <f t="shared" si="9"/>
        <v>1</v>
      </c>
      <c r="N79" s="6" t="s">
        <v>151</v>
      </c>
      <c r="O79" s="58">
        <v>0</v>
      </c>
      <c r="P79" s="58">
        <f t="shared" si="10"/>
        <v>0</v>
      </c>
      <c r="Q79">
        <v>4</v>
      </c>
      <c r="R79" s="58">
        <f t="shared" si="11"/>
        <v>1</v>
      </c>
      <c r="S79" s="58">
        <f t="shared" si="12"/>
        <v>0</v>
      </c>
      <c r="T79" s="58">
        <f t="shared" si="13"/>
        <v>0</v>
      </c>
      <c r="U79" s="58">
        <f t="shared" si="14"/>
        <v>1</v>
      </c>
      <c r="V79" s="58">
        <f t="shared" si="15"/>
        <v>0</v>
      </c>
    </row>
    <row r="80" spans="1:22">
      <c r="A80" s="6" t="s">
        <v>153</v>
      </c>
      <c r="B80">
        <v>0</v>
      </c>
      <c r="C80" s="16">
        <f t="shared" si="8"/>
        <v>0</v>
      </c>
      <c r="E80" s="6" t="s">
        <v>43</v>
      </c>
      <c r="F80" s="6" t="s">
        <v>19</v>
      </c>
      <c r="G80" s="8">
        <v>0</v>
      </c>
      <c r="H80" s="16">
        <f t="shared" si="9"/>
        <v>0</v>
      </c>
      <c r="N80" s="6" t="s">
        <v>153</v>
      </c>
      <c r="O80" s="58">
        <v>0</v>
      </c>
      <c r="P80" s="58">
        <f t="shared" si="10"/>
        <v>0</v>
      </c>
      <c r="Q80">
        <v>14</v>
      </c>
      <c r="R80" s="58">
        <f t="shared" si="11"/>
        <v>1</v>
      </c>
      <c r="S80" s="58">
        <f t="shared" si="12"/>
        <v>0</v>
      </c>
      <c r="T80" s="58">
        <f t="shared" si="13"/>
        <v>0</v>
      </c>
      <c r="U80" s="58">
        <f t="shared" si="14"/>
        <v>1</v>
      </c>
      <c r="V80" s="58">
        <f t="shared" si="15"/>
        <v>0</v>
      </c>
    </row>
    <row r="81" spans="1:22">
      <c r="A81" s="6" t="s">
        <v>155</v>
      </c>
      <c r="B81">
        <v>0</v>
      </c>
      <c r="C81" s="16">
        <f t="shared" si="8"/>
        <v>0</v>
      </c>
      <c r="E81" s="6" t="s">
        <v>44</v>
      </c>
      <c r="F81" s="6" t="s">
        <v>45</v>
      </c>
      <c r="G81" s="8">
        <v>0</v>
      </c>
      <c r="H81" s="16">
        <f t="shared" si="9"/>
        <v>0</v>
      </c>
      <c r="N81" s="6" t="s">
        <v>155</v>
      </c>
      <c r="O81" s="58">
        <v>0</v>
      </c>
      <c r="P81" s="58">
        <f t="shared" si="10"/>
        <v>0</v>
      </c>
      <c r="Q81">
        <v>0</v>
      </c>
      <c r="R81" s="58">
        <f t="shared" si="11"/>
        <v>0</v>
      </c>
      <c r="S81" s="58">
        <f t="shared" si="12"/>
        <v>1</v>
      </c>
      <c r="T81" s="58">
        <f t="shared" si="13"/>
        <v>0</v>
      </c>
      <c r="U81" s="58">
        <f t="shared" si="14"/>
        <v>0</v>
      </c>
      <c r="V81" s="58">
        <f t="shared" si="15"/>
        <v>0</v>
      </c>
    </row>
    <row r="82" spans="1:22">
      <c r="A82" s="6" t="s">
        <v>157</v>
      </c>
      <c r="B82">
        <v>154</v>
      </c>
      <c r="C82" s="16">
        <f t="shared" si="8"/>
        <v>1</v>
      </c>
      <c r="E82" s="6" t="s">
        <v>44</v>
      </c>
      <c r="F82" s="6" t="s">
        <v>46</v>
      </c>
      <c r="G82" s="8">
        <v>0</v>
      </c>
      <c r="H82" s="16">
        <f t="shared" si="9"/>
        <v>0</v>
      </c>
      <c r="N82" s="6" t="s">
        <v>157</v>
      </c>
      <c r="O82" s="58">
        <v>154</v>
      </c>
      <c r="P82" s="58">
        <f t="shared" si="10"/>
        <v>1</v>
      </c>
      <c r="Q82">
        <v>46</v>
      </c>
      <c r="R82" s="58">
        <f t="shared" si="11"/>
        <v>1</v>
      </c>
      <c r="S82" s="58">
        <f t="shared" si="12"/>
        <v>0</v>
      </c>
      <c r="T82" s="58">
        <f t="shared" si="13"/>
        <v>0</v>
      </c>
      <c r="U82" s="58">
        <f t="shared" si="14"/>
        <v>0</v>
      </c>
      <c r="V82" s="58">
        <f t="shared" si="15"/>
        <v>1</v>
      </c>
    </row>
    <row r="83" spans="1:22">
      <c r="A83" s="6" t="s">
        <v>163</v>
      </c>
      <c r="B83">
        <v>0</v>
      </c>
      <c r="C83" s="16">
        <f t="shared" si="8"/>
        <v>0</v>
      </c>
      <c r="E83" s="6" t="s">
        <v>47</v>
      </c>
      <c r="F83" s="6" t="s">
        <v>48</v>
      </c>
      <c r="G83" s="8">
        <v>9</v>
      </c>
      <c r="H83" s="16">
        <f t="shared" si="9"/>
        <v>1</v>
      </c>
      <c r="N83" s="6" t="s">
        <v>163</v>
      </c>
      <c r="O83" s="58">
        <v>0</v>
      </c>
      <c r="P83" s="58">
        <f t="shared" si="10"/>
        <v>0</v>
      </c>
      <c r="Q83">
        <v>9</v>
      </c>
      <c r="R83" s="58">
        <f t="shared" si="11"/>
        <v>1</v>
      </c>
      <c r="S83" s="58">
        <f t="shared" si="12"/>
        <v>0</v>
      </c>
      <c r="T83" s="58">
        <f t="shared" si="13"/>
        <v>0</v>
      </c>
      <c r="U83" s="58">
        <f t="shared" si="14"/>
        <v>1</v>
      </c>
      <c r="V83" s="58">
        <f t="shared" si="15"/>
        <v>0</v>
      </c>
    </row>
    <row r="84" spans="1:22">
      <c r="A84" s="6" t="s">
        <v>166</v>
      </c>
      <c r="B84">
        <v>0</v>
      </c>
      <c r="C84" s="16">
        <f t="shared" si="8"/>
        <v>0</v>
      </c>
      <c r="E84" s="6" t="s">
        <v>49</v>
      </c>
      <c r="F84" s="6" t="s">
        <v>50</v>
      </c>
      <c r="G84" s="8">
        <v>0</v>
      </c>
      <c r="H84" s="16">
        <f t="shared" si="9"/>
        <v>0</v>
      </c>
      <c r="N84" s="6" t="s">
        <v>166</v>
      </c>
      <c r="O84" s="58">
        <v>0</v>
      </c>
      <c r="P84" s="58">
        <f t="shared" si="10"/>
        <v>0</v>
      </c>
      <c r="Q84">
        <v>112</v>
      </c>
      <c r="R84" s="58">
        <f t="shared" si="11"/>
        <v>1</v>
      </c>
      <c r="S84" s="58">
        <f t="shared" si="12"/>
        <v>0</v>
      </c>
      <c r="T84" s="58">
        <f t="shared" si="13"/>
        <v>0</v>
      </c>
      <c r="U84" s="58">
        <f t="shared" si="14"/>
        <v>1</v>
      </c>
      <c r="V84" s="58">
        <f t="shared" si="15"/>
        <v>0</v>
      </c>
    </row>
    <row r="85" spans="1:22">
      <c r="A85" s="6" t="s">
        <v>169</v>
      </c>
      <c r="B85">
        <v>0</v>
      </c>
      <c r="C85" s="16">
        <f t="shared" si="8"/>
        <v>0</v>
      </c>
      <c r="E85" s="6" t="s">
        <v>51</v>
      </c>
      <c r="F85" s="6" t="s">
        <v>52</v>
      </c>
      <c r="G85" s="8">
        <v>3</v>
      </c>
      <c r="H85" s="16">
        <f t="shared" si="9"/>
        <v>1</v>
      </c>
      <c r="N85" s="6" t="s">
        <v>169</v>
      </c>
      <c r="O85" s="58">
        <v>0</v>
      </c>
      <c r="P85" s="58">
        <f t="shared" si="10"/>
        <v>0</v>
      </c>
      <c r="Q85">
        <v>12</v>
      </c>
      <c r="R85" s="58">
        <f t="shared" si="11"/>
        <v>1</v>
      </c>
      <c r="S85" s="58">
        <f t="shared" si="12"/>
        <v>0</v>
      </c>
      <c r="T85" s="58">
        <f t="shared" si="13"/>
        <v>0</v>
      </c>
      <c r="U85" s="58">
        <f t="shared" si="14"/>
        <v>1</v>
      </c>
      <c r="V85" s="58">
        <f t="shared" si="15"/>
        <v>0</v>
      </c>
    </row>
    <row r="86" spans="1:22">
      <c r="A86" s="6" t="s">
        <v>172</v>
      </c>
      <c r="B86">
        <v>0</v>
      </c>
      <c r="C86" s="16">
        <f t="shared" si="8"/>
        <v>0</v>
      </c>
      <c r="E86" s="6" t="s">
        <v>53</v>
      </c>
      <c r="F86" s="6" t="s">
        <v>54</v>
      </c>
      <c r="G86" s="8">
        <v>0</v>
      </c>
      <c r="H86" s="16">
        <f t="shared" si="9"/>
        <v>0</v>
      </c>
      <c r="N86" s="6" t="s">
        <v>172</v>
      </c>
      <c r="O86" s="58">
        <v>0</v>
      </c>
      <c r="P86" s="58">
        <f t="shared" si="10"/>
        <v>0</v>
      </c>
      <c r="Q86">
        <v>1</v>
      </c>
      <c r="R86" s="58">
        <f t="shared" si="11"/>
        <v>1</v>
      </c>
      <c r="S86" s="58">
        <f t="shared" si="12"/>
        <v>0</v>
      </c>
      <c r="T86" s="58">
        <f t="shared" si="13"/>
        <v>0</v>
      </c>
      <c r="U86" s="58">
        <f t="shared" si="14"/>
        <v>1</v>
      </c>
      <c r="V86" s="58">
        <f t="shared" si="15"/>
        <v>0</v>
      </c>
    </row>
    <row r="87" spans="1:22">
      <c r="A87" s="6" t="s">
        <v>174</v>
      </c>
      <c r="B87">
        <v>9</v>
      </c>
      <c r="C87" s="16">
        <f t="shared" si="8"/>
        <v>1</v>
      </c>
      <c r="E87" s="6" t="s">
        <v>53</v>
      </c>
      <c r="F87" s="6" t="s">
        <v>55</v>
      </c>
      <c r="G87" s="8">
        <v>3</v>
      </c>
      <c r="H87" s="16">
        <f t="shared" si="9"/>
        <v>1</v>
      </c>
      <c r="N87" s="6" t="s">
        <v>174</v>
      </c>
      <c r="O87" s="58">
        <v>9</v>
      </c>
      <c r="P87" s="58">
        <f t="shared" si="10"/>
        <v>1</v>
      </c>
      <c r="Q87">
        <v>4</v>
      </c>
      <c r="R87" s="58">
        <f t="shared" si="11"/>
        <v>1</v>
      </c>
      <c r="S87" s="58">
        <f t="shared" si="12"/>
        <v>0</v>
      </c>
      <c r="T87" s="58">
        <f t="shared" si="13"/>
        <v>0</v>
      </c>
      <c r="U87" s="58">
        <f t="shared" si="14"/>
        <v>0</v>
      </c>
      <c r="V87" s="58">
        <f t="shared" si="15"/>
        <v>1</v>
      </c>
    </row>
    <row r="88" spans="1:22">
      <c r="A88" s="6" t="s">
        <v>177</v>
      </c>
      <c r="B88">
        <v>0</v>
      </c>
      <c r="C88" s="16">
        <f t="shared" si="8"/>
        <v>0</v>
      </c>
      <c r="E88" s="6" t="s">
        <v>53</v>
      </c>
      <c r="F88" s="6" t="s">
        <v>56</v>
      </c>
      <c r="G88" s="8">
        <v>0</v>
      </c>
      <c r="H88" s="16">
        <f t="shared" si="9"/>
        <v>0</v>
      </c>
      <c r="N88" s="6" t="s">
        <v>177</v>
      </c>
      <c r="O88" s="58">
        <v>0</v>
      </c>
      <c r="P88" s="58">
        <f t="shared" si="10"/>
        <v>0</v>
      </c>
      <c r="Q88">
        <v>0</v>
      </c>
      <c r="R88" s="58">
        <f t="shared" si="11"/>
        <v>0</v>
      </c>
      <c r="S88" s="58">
        <f t="shared" si="12"/>
        <v>1</v>
      </c>
      <c r="T88" s="58">
        <f t="shared" si="13"/>
        <v>0</v>
      </c>
      <c r="U88" s="58">
        <f t="shared" si="14"/>
        <v>0</v>
      </c>
      <c r="V88" s="58">
        <f t="shared" si="15"/>
        <v>0</v>
      </c>
    </row>
    <row r="89" spans="1:22">
      <c r="A89" s="6" t="s">
        <v>179</v>
      </c>
      <c r="B89">
        <v>0</v>
      </c>
      <c r="C89" s="16">
        <f t="shared" si="8"/>
        <v>0</v>
      </c>
      <c r="E89" s="6" t="s">
        <v>57</v>
      </c>
      <c r="F89" s="6" t="s">
        <v>58</v>
      </c>
      <c r="G89" s="8">
        <v>2</v>
      </c>
      <c r="H89" s="16">
        <f t="shared" si="9"/>
        <v>1</v>
      </c>
      <c r="N89" s="6" t="s">
        <v>179</v>
      </c>
      <c r="O89" s="58">
        <v>0</v>
      </c>
      <c r="P89" s="58">
        <f t="shared" si="10"/>
        <v>0</v>
      </c>
      <c r="Q89">
        <v>0</v>
      </c>
      <c r="R89" s="58">
        <f t="shared" si="11"/>
        <v>0</v>
      </c>
      <c r="S89" s="58">
        <f t="shared" si="12"/>
        <v>1</v>
      </c>
      <c r="T89" s="58">
        <f t="shared" si="13"/>
        <v>0</v>
      </c>
      <c r="U89" s="58">
        <f t="shared" si="14"/>
        <v>0</v>
      </c>
      <c r="V89" s="58">
        <f t="shared" si="15"/>
        <v>0</v>
      </c>
    </row>
    <row r="90" spans="1:22">
      <c r="A90" s="6" t="s">
        <v>180</v>
      </c>
      <c r="B90">
        <v>0</v>
      </c>
      <c r="C90" s="16">
        <f t="shared" si="8"/>
        <v>0</v>
      </c>
      <c r="E90" s="6" t="s">
        <v>59</v>
      </c>
      <c r="F90" s="6" t="s">
        <v>58</v>
      </c>
      <c r="G90" s="8">
        <v>3</v>
      </c>
      <c r="H90" s="16">
        <f t="shared" si="9"/>
        <v>1</v>
      </c>
      <c r="N90" s="6" t="s">
        <v>180</v>
      </c>
      <c r="O90" s="58">
        <v>0</v>
      </c>
      <c r="P90" s="58">
        <f t="shared" si="10"/>
        <v>0</v>
      </c>
      <c r="Q90">
        <v>0</v>
      </c>
      <c r="R90" s="58">
        <f t="shared" si="11"/>
        <v>0</v>
      </c>
      <c r="S90" s="58">
        <f t="shared" si="12"/>
        <v>1</v>
      </c>
      <c r="T90" s="58">
        <f t="shared" si="13"/>
        <v>0</v>
      </c>
      <c r="U90" s="58">
        <f t="shared" si="14"/>
        <v>0</v>
      </c>
      <c r="V90" s="58">
        <f t="shared" si="15"/>
        <v>0</v>
      </c>
    </row>
    <row r="91" spans="1:22">
      <c r="A91" s="6" t="s">
        <v>181</v>
      </c>
      <c r="B91">
        <v>0</v>
      </c>
      <c r="C91" s="16">
        <f t="shared" si="8"/>
        <v>0</v>
      </c>
      <c r="E91" s="6" t="s">
        <v>60</v>
      </c>
      <c r="F91" s="6" t="s">
        <v>58</v>
      </c>
      <c r="G91" s="8">
        <v>3</v>
      </c>
      <c r="H91" s="16">
        <f t="shared" si="9"/>
        <v>1</v>
      </c>
      <c r="N91" s="6" t="s">
        <v>181</v>
      </c>
      <c r="O91" s="58">
        <v>0</v>
      </c>
      <c r="P91" s="58">
        <f t="shared" si="10"/>
        <v>0</v>
      </c>
      <c r="Q91">
        <v>0</v>
      </c>
      <c r="R91" s="58">
        <f t="shared" si="11"/>
        <v>0</v>
      </c>
      <c r="S91" s="58">
        <f t="shared" si="12"/>
        <v>1</v>
      </c>
      <c r="T91" s="58">
        <f t="shared" si="13"/>
        <v>0</v>
      </c>
      <c r="U91" s="58">
        <f t="shared" si="14"/>
        <v>0</v>
      </c>
      <c r="V91" s="58">
        <f t="shared" si="15"/>
        <v>0</v>
      </c>
    </row>
    <row r="92" spans="1:22">
      <c r="A92" s="6" t="s">
        <v>182</v>
      </c>
      <c r="B92">
        <v>0</v>
      </c>
      <c r="C92" s="16">
        <f t="shared" si="8"/>
        <v>0</v>
      </c>
      <c r="E92" s="6" t="s">
        <v>61</v>
      </c>
      <c r="F92" s="6" t="s">
        <v>62</v>
      </c>
      <c r="G92" s="8">
        <v>92</v>
      </c>
      <c r="H92" s="16">
        <f t="shared" si="9"/>
        <v>1</v>
      </c>
      <c r="N92" s="6" t="s">
        <v>182</v>
      </c>
      <c r="O92" s="58">
        <v>0</v>
      </c>
      <c r="P92" s="58">
        <f t="shared" si="10"/>
        <v>0</v>
      </c>
      <c r="Q92">
        <v>0</v>
      </c>
      <c r="R92" s="58">
        <f t="shared" si="11"/>
        <v>0</v>
      </c>
      <c r="S92" s="58">
        <f t="shared" si="12"/>
        <v>1</v>
      </c>
      <c r="T92" s="58">
        <f t="shared" si="13"/>
        <v>0</v>
      </c>
      <c r="U92" s="58">
        <f t="shared" si="14"/>
        <v>0</v>
      </c>
      <c r="V92" s="58">
        <f t="shared" si="15"/>
        <v>0</v>
      </c>
    </row>
    <row r="93" spans="1:22">
      <c r="A93" s="6" t="s">
        <v>183</v>
      </c>
      <c r="B93">
        <v>0</v>
      </c>
      <c r="C93" s="16">
        <f t="shared" si="8"/>
        <v>0</v>
      </c>
      <c r="E93" s="6" t="s">
        <v>63</v>
      </c>
      <c r="F93" s="6" t="s">
        <v>64</v>
      </c>
      <c r="G93" s="8">
        <v>12</v>
      </c>
      <c r="H93" s="16">
        <f t="shared" si="9"/>
        <v>1</v>
      </c>
      <c r="N93" s="6" t="s">
        <v>183</v>
      </c>
      <c r="O93" s="58">
        <v>0</v>
      </c>
      <c r="P93" s="58">
        <f t="shared" si="10"/>
        <v>0</v>
      </c>
      <c r="Q93">
        <v>0</v>
      </c>
      <c r="R93" s="58">
        <f t="shared" si="11"/>
        <v>0</v>
      </c>
      <c r="S93" s="58">
        <f t="shared" si="12"/>
        <v>1</v>
      </c>
      <c r="T93" s="58">
        <f t="shared" si="13"/>
        <v>0</v>
      </c>
      <c r="U93" s="58">
        <f t="shared" si="14"/>
        <v>0</v>
      </c>
      <c r="V93" s="58">
        <f t="shared" si="15"/>
        <v>0</v>
      </c>
    </row>
    <row r="94" spans="1:22">
      <c r="A94" s="6" t="s">
        <v>184</v>
      </c>
      <c r="B94">
        <v>0</v>
      </c>
      <c r="C94" s="16">
        <f t="shared" si="8"/>
        <v>0</v>
      </c>
      <c r="E94" s="6" t="s">
        <v>65</v>
      </c>
      <c r="F94" s="6" t="s">
        <v>66</v>
      </c>
      <c r="G94" s="8">
        <v>0</v>
      </c>
      <c r="H94" s="16">
        <f t="shared" si="9"/>
        <v>0</v>
      </c>
      <c r="N94" s="6" t="s">
        <v>184</v>
      </c>
      <c r="O94" s="58">
        <v>0</v>
      </c>
      <c r="P94" s="58">
        <f t="shared" si="10"/>
        <v>0</v>
      </c>
      <c r="Q94">
        <v>0</v>
      </c>
      <c r="R94" s="58">
        <f t="shared" si="11"/>
        <v>0</v>
      </c>
      <c r="S94" s="58">
        <f t="shared" si="12"/>
        <v>1</v>
      </c>
      <c r="T94" s="58">
        <f t="shared" si="13"/>
        <v>0</v>
      </c>
      <c r="U94" s="58">
        <f t="shared" si="14"/>
        <v>0</v>
      </c>
      <c r="V94" s="58">
        <f t="shared" si="15"/>
        <v>0</v>
      </c>
    </row>
    <row r="95" spans="1:22">
      <c r="A95" s="6" t="s">
        <v>185</v>
      </c>
      <c r="B95">
        <v>0</v>
      </c>
      <c r="C95" s="16">
        <f t="shared" si="8"/>
        <v>0</v>
      </c>
      <c r="E95" s="6" t="s">
        <v>67</v>
      </c>
      <c r="F95" s="6" t="s">
        <v>66</v>
      </c>
      <c r="G95" s="8">
        <v>2</v>
      </c>
      <c r="H95" s="16">
        <f t="shared" si="9"/>
        <v>1</v>
      </c>
      <c r="N95" s="6" t="s">
        <v>185</v>
      </c>
      <c r="O95" s="58">
        <v>0</v>
      </c>
      <c r="P95" s="58">
        <f t="shared" si="10"/>
        <v>0</v>
      </c>
      <c r="Q95">
        <v>0</v>
      </c>
      <c r="R95" s="58">
        <f t="shared" si="11"/>
        <v>0</v>
      </c>
      <c r="S95" s="58">
        <f t="shared" si="12"/>
        <v>1</v>
      </c>
      <c r="T95" s="58">
        <f t="shared" si="13"/>
        <v>0</v>
      </c>
      <c r="U95" s="58">
        <f t="shared" si="14"/>
        <v>0</v>
      </c>
      <c r="V95" s="58">
        <f t="shared" si="15"/>
        <v>0</v>
      </c>
    </row>
    <row r="96" spans="1:22">
      <c r="A96" s="6" t="s">
        <v>187</v>
      </c>
      <c r="B96">
        <v>0</v>
      </c>
      <c r="C96" s="16">
        <f t="shared" si="8"/>
        <v>0</v>
      </c>
      <c r="E96" s="6" t="s">
        <v>68</v>
      </c>
      <c r="F96" s="6" t="s">
        <v>66</v>
      </c>
      <c r="G96" s="8">
        <v>3</v>
      </c>
      <c r="H96" s="16">
        <f t="shared" si="9"/>
        <v>1</v>
      </c>
      <c r="N96" s="6" t="s">
        <v>187</v>
      </c>
      <c r="O96" s="58">
        <v>0</v>
      </c>
      <c r="P96" s="58">
        <f t="shared" si="10"/>
        <v>0</v>
      </c>
      <c r="Q96">
        <v>6</v>
      </c>
      <c r="R96" s="58">
        <f t="shared" si="11"/>
        <v>1</v>
      </c>
      <c r="S96" s="58">
        <f t="shared" si="12"/>
        <v>0</v>
      </c>
      <c r="T96" s="58">
        <f t="shared" si="13"/>
        <v>0</v>
      </c>
      <c r="U96" s="58">
        <f t="shared" si="14"/>
        <v>1</v>
      </c>
      <c r="V96" s="58">
        <f t="shared" si="15"/>
        <v>0</v>
      </c>
    </row>
    <row r="97" spans="1:22">
      <c r="A97" s="6" t="s">
        <v>190</v>
      </c>
      <c r="B97">
        <v>24</v>
      </c>
      <c r="C97" s="16">
        <f t="shared" si="8"/>
        <v>1</v>
      </c>
      <c r="E97" s="6" t="s">
        <v>69</v>
      </c>
      <c r="F97" s="6" t="s">
        <v>70</v>
      </c>
      <c r="G97" s="8">
        <v>0</v>
      </c>
      <c r="H97" s="16">
        <f t="shared" si="9"/>
        <v>0</v>
      </c>
      <c r="N97" s="6" t="s">
        <v>190</v>
      </c>
      <c r="O97" s="58">
        <v>24</v>
      </c>
      <c r="P97" s="58">
        <f t="shared" si="10"/>
        <v>1</v>
      </c>
      <c r="Q97">
        <v>2</v>
      </c>
      <c r="R97" s="58">
        <f t="shared" si="11"/>
        <v>1</v>
      </c>
      <c r="S97" s="58">
        <f t="shared" si="12"/>
        <v>0</v>
      </c>
      <c r="T97" s="58">
        <f t="shared" si="13"/>
        <v>0</v>
      </c>
      <c r="U97" s="58">
        <f t="shared" si="14"/>
        <v>0</v>
      </c>
      <c r="V97" s="58">
        <f t="shared" si="15"/>
        <v>1</v>
      </c>
    </row>
    <row r="98" spans="1:22">
      <c r="A98" s="6" t="s">
        <v>197</v>
      </c>
      <c r="B98">
        <v>0</v>
      </c>
      <c r="C98" s="16">
        <f t="shared" si="8"/>
        <v>0</v>
      </c>
      <c r="E98" s="6" t="s">
        <v>71</v>
      </c>
      <c r="F98" s="6" t="s">
        <v>72</v>
      </c>
      <c r="G98" s="8">
        <v>20</v>
      </c>
      <c r="H98" s="16">
        <f t="shared" si="9"/>
        <v>1</v>
      </c>
      <c r="N98" s="6" t="s">
        <v>197</v>
      </c>
      <c r="O98" s="58">
        <v>0</v>
      </c>
      <c r="P98" s="58">
        <f t="shared" si="10"/>
        <v>0</v>
      </c>
      <c r="Q98">
        <v>8</v>
      </c>
      <c r="R98" s="58">
        <f t="shared" si="11"/>
        <v>1</v>
      </c>
      <c r="S98" s="58">
        <f t="shared" si="12"/>
        <v>0</v>
      </c>
      <c r="T98" s="58">
        <f t="shared" si="13"/>
        <v>0</v>
      </c>
      <c r="U98" s="58">
        <f t="shared" si="14"/>
        <v>1</v>
      </c>
      <c r="V98" s="58">
        <f t="shared" si="15"/>
        <v>0</v>
      </c>
    </row>
    <row r="99" spans="1:22">
      <c r="A99" s="6" t="s">
        <v>199</v>
      </c>
      <c r="B99">
        <v>8</v>
      </c>
      <c r="C99" s="16">
        <f t="shared" si="8"/>
        <v>1</v>
      </c>
      <c r="E99" s="6" t="s">
        <v>73</v>
      </c>
      <c r="F99" s="6" t="s">
        <v>74</v>
      </c>
      <c r="G99" s="8">
        <v>8</v>
      </c>
      <c r="H99" s="16">
        <f t="shared" si="9"/>
        <v>1</v>
      </c>
      <c r="N99" s="6" t="s">
        <v>199</v>
      </c>
      <c r="O99" s="58">
        <v>8</v>
      </c>
      <c r="P99" s="58">
        <f t="shared" si="10"/>
        <v>1</v>
      </c>
      <c r="Q99">
        <v>37</v>
      </c>
      <c r="R99" s="58">
        <f t="shared" si="11"/>
        <v>1</v>
      </c>
      <c r="S99" s="58">
        <f t="shared" si="12"/>
        <v>0</v>
      </c>
      <c r="T99" s="58">
        <f t="shared" si="13"/>
        <v>0</v>
      </c>
      <c r="U99" s="58">
        <f t="shared" si="14"/>
        <v>0</v>
      </c>
      <c r="V99" s="58">
        <f t="shared" si="15"/>
        <v>1</v>
      </c>
    </row>
    <row r="100" spans="1:22">
      <c r="A100" s="6" t="s">
        <v>205</v>
      </c>
      <c r="B100">
        <v>1</v>
      </c>
      <c r="C100" s="16">
        <f t="shared" si="8"/>
        <v>1</v>
      </c>
      <c r="E100" s="6" t="s">
        <v>73</v>
      </c>
      <c r="F100" s="6" t="s">
        <v>70</v>
      </c>
      <c r="G100" s="8">
        <v>0</v>
      </c>
      <c r="H100" s="16">
        <f t="shared" si="9"/>
        <v>0</v>
      </c>
      <c r="N100" s="6" t="s">
        <v>205</v>
      </c>
      <c r="O100" s="58">
        <v>1</v>
      </c>
      <c r="P100" s="58">
        <f t="shared" si="10"/>
        <v>1</v>
      </c>
      <c r="Q100">
        <v>4</v>
      </c>
      <c r="R100" s="58">
        <f t="shared" si="11"/>
        <v>1</v>
      </c>
      <c r="S100" s="58">
        <f t="shared" si="12"/>
        <v>0</v>
      </c>
      <c r="T100" s="58">
        <f t="shared" si="13"/>
        <v>0</v>
      </c>
      <c r="U100" s="58">
        <f t="shared" si="14"/>
        <v>0</v>
      </c>
      <c r="V100" s="58">
        <f t="shared" si="15"/>
        <v>1</v>
      </c>
    </row>
    <row r="101" spans="1:22">
      <c r="A101" s="6" t="s">
        <v>209</v>
      </c>
      <c r="B101">
        <v>0</v>
      </c>
      <c r="C101" s="16">
        <f t="shared" si="8"/>
        <v>0</v>
      </c>
      <c r="E101" s="6" t="s">
        <v>75</v>
      </c>
      <c r="F101" s="6" t="s">
        <v>76</v>
      </c>
      <c r="G101" s="8">
        <v>2</v>
      </c>
      <c r="H101" s="16">
        <f t="shared" si="9"/>
        <v>1</v>
      </c>
      <c r="N101" s="6" t="s">
        <v>209</v>
      </c>
      <c r="O101" s="58">
        <v>0</v>
      </c>
      <c r="P101" s="58">
        <f t="shared" si="10"/>
        <v>0</v>
      </c>
      <c r="Q101">
        <v>0</v>
      </c>
      <c r="R101" s="58">
        <f t="shared" si="11"/>
        <v>0</v>
      </c>
      <c r="S101" s="58">
        <f t="shared" si="12"/>
        <v>1</v>
      </c>
      <c r="T101" s="58">
        <f t="shared" si="13"/>
        <v>0</v>
      </c>
      <c r="U101" s="58">
        <f t="shared" si="14"/>
        <v>0</v>
      </c>
      <c r="V101" s="58">
        <f t="shared" si="15"/>
        <v>0</v>
      </c>
    </row>
    <row r="102" spans="1:22">
      <c r="A102" s="6" t="s">
        <v>211</v>
      </c>
      <c r="B102">
        <v>0</v>
      </c>
      <c r="C102" s="16">
        <f t="shared" si="8"/>
        <v>0</v>
      </c>
      <c r="E102" s="6" t="s">
        <v>77</v>
      </c>
      <c r="F102" s="6" t="s">
        <v>76</v>
      </c>
      <c r="G102" s="8">
        <v>0</v>
      </c>
      <c r="H102" s="16">
        <f t="shared" si="9"/>
        <v>0</v>
      </c>
      <c r="N102" s="6" t="s">
        <v>211</v>
      </c>
      <c r="O102" s="58">
        <v>0</v>
      </c>
      <c r="P102" s="58">
        <f t="shared" si="10"/>
        <v>0</v>
      </c>
      <c r="Q102">
        <v>0</v>
      </c>
      <c r="R102" s="58">
        <f t="shared" si="11"/>
        <v>0</v>
      </c>
      <c r="S102" s="58">
        <f t="shared" si="12"/>
        <v>1</v>
      </c>
      <c r="T102" s="58">
        <f t="shared" si="13"/>
        <v>0</v>
      </c>
      <c r="U102" s="58">
        <f t="shared" si="14"/>
        <v>0</v>
      </c>
      <c r="V102" s="58">
        <f t="shared" si="15"/>
        <v>0</v>
      </c>
    </row>
    <row r="103" spans="1:22">
      <c r="A103" s="6" t="s">
        <v>212</v>
      </c>
      <c r="B103">
        <v>0</v>
      </c>
      <c r="C103" s="16">
        <f t="shared" si="8"/>
        <v>0</v>
      </c>
      <c r="E103" s="6" t="s">
        <v>78</v>
      </c>
      <c r="F103" s="6" t="s">
        <v>79</v>
      </c>
      <c r="G103" s="8">
        <v>0</v>
      </c>
      <c r="H103" s="16">
        <f t="shared" si="9"/>
        <v>0</v>
      </c>
      <c r="N103" s="6" t="s">
        <v>212</v>
      </c>
      <c r="O103" s="58">
        <v>0</v>
      </c>
      <c r="P103" s="58">
        <f t="shared" si="10"/>
        <v>0</v>
      </c>
      <c r="Q103">
        <v>2</v>
      </c>
      <c r="R103" s="58">
        <f t="shared" si="11"/>
        <v>1</v>
      </c>
      <c r="S103" s="58">
        <f t="shared" si="12"/>
        <v>0</v>
      </c>
      <c r="T103" s="58">
        <f t="shared" si="13"/>
        <v>0</v>
      </c>
      <c r="U103" s="58">
        <f t="shared" si="14"/>
        <v>1</v>
      </c>
      <c r="V103" s="58">
        <f t="shared" si="15"/>
        <v>0</v>
      </c>
    </row>
    <row r="104" spans="1:22">
      <c r="A104" s="6" t="s">
        <v>214</v>
      </c>
      <c r="B104">
        <v>0</v>
      </c>
      <c r="C104" s="16">
        <f t="shared" si="8"/>
        <v>0</v>
      </c>
      <c r="E104" s="6" t="s">
        <v>78</v>
      </c>
      <c r="F104" s="6" t="s">
        <v>80</v>
      </c>
      <c r="G104" s="8">
        <v>0</v>
      </c>
      <c r="H104" s="16">
        <f t="shared" si="9"/>
        <v>0</v>
      </c>
      <c r="N104" s="6" t="s">
        <v>214</v>
      </c>
      <c r="O104" s="58">
        <v>0</v>
      </c>
      <c r="P104" s="58">
        <f t="shared" si="10"/>
        <v>0</v>
      </c>
      <c r="Q104">
        <v>0</v>
      </c>
      <c r="R104" s="58">
        <f t="shared" si="11"/>
        <v>0</v>
      </c>
      <c r="S104" s="58">
        <f t="shared" si="12"/>
        <v>1</v>
      </c>
      <c r="T104" s="58">
        <f t="shared" si="13"/>
        <v>0</v>
      </c>
      <c r="U104" s="58">
        <f t="shared" si="14"/>
        <v>0</v>
      </c>
      <c r="V104" s="58">
        <f t="shared" si="15"/>
        <v>0</v>
      </c>
    </row>
    <row r="105" spans="1:22">
      <c r="A105" s="6" t="s">
        <v>216</v>
      </c>
      <c r="B105">
        <v>0</v>
      </c>
      <c r="C105" s="16">
        <f t="shared" si="8"/>
        <v>0</v>
      </c>
      <c r="E105" s="6" t="s">
        <v>81</v>
      </c>
      <c r="F105" s="6" t="s">
        <v>82</v>
      </c>
      <c r="G105" s="8">
        <v>0</v>
      </c>
      <c r="H105" s="16">
        <f t="shared" si="9"/>
        <v>0</v>
      </c>
      <c r="N105" s="6" t="s">
        <v>216</v>
      </c>
      <c r="O105" s="58">
        <v>0</v>
      </c>
      <c r="P105" s="58">
        <f t="shared" si="10"/>
        <v>0</v>
      </c>
      <c r="Q105">
        <v>0</v>
      </c>
      <c r="R105" s="58">
        <f t="shared" si="11"/>
        <v>0</v>
      </c>
      <c r="S105" s="58">
        <f t="shared" si="12"/>
        <v>1</v>
      </c>
      <c r="T105" s="58">
        <f t="shared" si="13"/>
        <v>0</v>
      </c>
      <c r="U105" s="58">
        <f t="shared" si="14"/>
        <v>0</v>
      </c>
      <c r="V105" s="58">
        <f t="shared" si="15"/>
        <v>0</v>
      </c>
    </row>
    <row r="106" spans="1:22">
      <c r="A106" s="6" t="s">
        <v>217</v>
      </c>
      <c r="B106">
        <v>0</v>
      </c>
      <c r="C106" s="16">
        <f t="shared" si="8"/>
        <v>0</v>
      </c>
      <c r="E106" s="6" t="s">
        <v>81</v>
      </c>
      <c r="F106" s="6" t="s">
        <v>83</v>
      </c>
      <c r="G106" s="8">
        <v>0</v>
      </c>
      <c r="H106" s="16">
        <f t="shared" si="9"/>
        <v>0</v>
      </c>
      <c r="N106" s="6" t="s">
        <v>217</v>
      </c>
      <c r="O106" s="58">
        <v>0</v>
      </c>
      <c r="P106" s="58">
        <f t="shared" si="10"/>
        <v>0</v>
      </c>
      <c r="Q106">
        <v>0</v>
      </c>
      <c r="R106" s="58">
        <f t="shared" si="11"/>
        <v>0</v>
      </c>
      <c r="S106" s="58">
        <f t="shared" si="12"/>
        <v>1</v>
      </c>
      <c r="T106" s="58">
        <f t="shared" si="13"/>
        <v>0</v>
      </c>
      <c r="U106" s="58">
        <f t="shared" si="14"/>
        <v>0</v>
      </c>
      <c r="V106" s="58">
        <f t="shared" si="15"/>
        <v>0</v>
      </c>
    </row>
    <row r="107" spans="1:22">
      <c r="A107" s="6" t="s">
        <v>218</v>
      </c>
      <c r="B107">
        <v>0</v>
      </c>
      <c r="C107" s="16">
        <f t="shared" si="8"/>
        <v>0</v>
      </c>
      <c r="E107" s="6" t="s">
        <v>81</v>
      </c>
      <c r="F107" s="6" t="s">
        <v>84</v>
      </c>
      <c r="G107" s="8">
        <v>0</v>
      </c>
      <c r="H107" s="16">
        <f t="shared" si="9"/>
        <v>0</v>
      </c>
      <c r="N107" s="6" t="s">
        <v>218</v>
      </c>
      <c r="O107" s="58">
        <v>0</v>
      </c>
      <c r="P107" s="58">
        <f t="shared" si="10"/>
        <v>0</v>
      </c>
      <c r="Q107">
        <v>0</v>
      </c>
      <c r="R107" s="58">
        <f t="shared" si="11"/>
        <v>0</v>
      </c>
      <c r="S107" s="58">
        <f t="shared" si="12"/>
        <v>1</v>
      </c>
      <c r="T107" s="58">
        <f t="shared" si="13"/>
        <v>0</v>
      </c>
      <c r="U107" s="58">
        <f t="shared" si="14"/>
        <v>0</v>
      </c>
      <c r="V107" s="58">
        <f t="shared" si="15"/>
        <v>0</v>
      </c>
    </row>
    <row r="108" spans="1:22">
      <c r="A108" s="6" t="s">
        <v>219</v>
      </c>
      <c r="B108">
        <v>0</v>
      </c>
      <c r="C108" s="16">
        <f t="shared" si="8"/>
        <v>0</v>
      </c>
      <c r="E108" s="6" t="s">
        <v>85</v>
      </c>
      <c r="F108" s="6" t="s">
        <v>86</v>
      </c>
      <c r="G108" s="8">
        <v>0</v>
      </c>
      <c r="H108" s="16">
        <f t="shared" si="9"/>
        <v>0</v>
      </c>
      <c r="N108" s="6" t="s">
        <v>219</v>
      </c>
      <c r="O108" s="58">
        <v>0</v>
      </c>
      <c r="P108" s="58">
        <f t="shared" si="10"/>
        <v>0</v>
      </c>
      <c r="Q108">
        <v>0</v>
      </c>
      <c r="R108" s="58">
        <f t="shared" si="11"/>
        <v>0</v>
      </c>
      <c r="S108" s="58">
        <f t="shared" si="12"/>
        <v>1</v>
      </c>
      <c r="T108" s="58">
        <f t="shared" si="13"/>
        <v>0</v>
      </c>
      <c r="U108" s="58">
        <f t="shared" si="14"/>
        <v>0</v>
      </c>
      <c r="V108" s="58">
        <f t="shared" si="15"/>
        <v>0</v>
      </c>
    </row>
    <row r="109" spans="1:22">
      <c r="A109" s="6" t="s">
        <v>220</v>
      </c>
      <c r="B109">
        <v>0</v>
      </c>
      <c r="C109" s="16">
        <f t="shared" si="8"/>
        <v>0</v>
      </c>
      <c r="E109" s="6" t="s">
        <v>87</v>
      </c>
      <c r="F109" s="6" t="s">
        <v>88</v>
      </c>
      <c r="G109" s="8">
        <v>0</v>
      </c>
      <c r="H109" s="16">
        <f t="shared" si="9"/>
        <v>0</v>
      </c>
      <c r="N109" s="6" t="s">
        <v>220</v>
      </c>
      <c r="O109" s="58">
        <v>0</v>
      </c>
      <c r="P109" s="58">
        <f t="shared" si="10"/>
        <v>0</v>
      </c>
      <c r="Q109">
        <v>0</v>
      </c>
      <c r="R109" s="58">
        <f t="shared" si="11"/>
        <v>0</v>
      </c>
      <c r="S109" s="58">
        <f t="shared" si="12"/>
        <v>1</v>
      </c>
      <c r="T109" s="58">
        <f t="shared" si="13"/>
        <v>0</v>
      </c>
      <c r="U109" s="58">
        <f t="shared" si="14"/>
        <v>0</v>
      </c>
      <c r="V109" s="58">
        <f t="shared" si="15"/>
        <v>0</v>
      </c>
    </row>
    <row r="110" spans="1:22">
      <c r="A110" s="6" t="s">
        <v>221</v>
      </c>
      <c r="B110">
        <v>0</v>
      </c>
      <c r="C110" s="16">
        <f t="shared" si="8"/>
        <v>0</v>
      </c>
      <c r="E110" s="6" t="s">
        <v>89</v>
      </c>
      <c r="F110" s="6" t="s">
        <v>90</v>
      </c>
      <c r="G110" s="8">
        <v>0</v>
      </c>
      <c r="H110" s="16">
        <f t="shared" si="9"/>
        <v>0</v>
      </c>
      <c r="N110" s="6" t="s">
        <v>221</v>
      </c>
      <c r="O110" s="58">
        <v>0</v>
      </c>
      <c r="P110" s="58">
        <f t="shared" si="10"/>
        <v>0</v>
      </c>
      <c r="Q110">
        <v>1</v>
      </c>
      <c r="R110" s="58">
        <f t="shared" si="11"/>
        <v>1</v>
      </c>
      <c r="S110" s="58">
        <f t="shared" si="12"/>
        <v>0</v>
      </c>
      <c r="T110" s="58">
        <f t="shared" si="13"/>
        <v>0</v>
      </c>
      <c r="U110" s="58">
        <f t="shared" si="14"/>
        <v>1</v>
      </c>
      <c r="V110" s="58">
        <f t="shared" si="15"/>
        <v>0</v>
      </c>
    </row>
    <row r="111" spans="1:22">
      <c r="A111" s="6" t="s">
        <v>224</v>
      </c>
      <c r="B111">
        <v>0</v>
      </c>
      <c r="C111" s="16">
        <f t="shared" si="8"/>
        <v>0</v>
      </c>
      <c r="E111" s="6" t="s">
        <v>89</v>
      </c>
      <c r="F111" s="6" t="s">
        <v>91</v>
      </c>
      <c r="G111" s="8">
        <v>0</v>
      </c>
      <c r="H111" s="16">
        <f t="shared" si="9"/>
        <v>0</v>
      </c>
      <c r="N111" s="6" t="s">
        <v>224</v>
      </c>
      <c r="O111" s="58">
        <v>0</v>
      </c>
      <c r="P111" s="58">
        <f t="shared" si="10"/>
        <v>0</v>
      </c>
      <c r="Q111">
        <v>0</v>
      </c>
      <c r="R111" s="58">
        <f t="shared" si="11"/>
        <v>0</v>
      </c>
      <c r="S111" s="58">
        <f t="shared" si="12"/>
        <v>1</v>
      </c>
      <c r="T111" s="58">
        <f t="shared" si="13"/>
        <v>0</v>
      </c>
      <c r="U111" s="58">
        <f t="shared" si="14"/>
        <v>0</v>
      </c>
      <c r="V111" s="58">
        <f t="shared" si="15"/>
        <v>0</v>
      </c>
    </row>
    <row r="112" spans="1:22">
      <c r="A112" s="6" t="s">
        <v>226</v>
      </c>
      <c r="B112">
        <v>0</v>
      </c>
      <c r="C112" s="16">
        <f t="shared" si="8"/>
        <v>0</v>
      </c>
      <c r="E112" s="6" t="s">
        <v>89</v>
      </c>
      <c r="F112" s="6" t="s">
        <v>92</v>
      </c>
      <c r="G112" s="8">
        <v>0</v>
      </c>
      <c r="H112" s="16">
        <f t="shared" si="9"/>
        <v>0</v>
      </c>
      <c r="N112" s="6" t="s">
        <v>226</v>
      </c>
      <c r="O112" s="58">
        <v>0</v>
      </c>
      <c r="P112" s="58">
        <f t="shared" si="10"/>
        <v>0</v>
      </c>
      <c r="Q112">
        <v>0</v>
      </c>
      <c r="R112" s="58">
        <f t="shared" si="11"/>
        <v>0</v>
      </c>
      <c r="S112" s="58">
        <f t="shared" si="12"/>
        <v>1</v>
      </c>
      <c r="T112" s="58">
        <f t="shared" si="13"/>
        <v>0</v>
      </c>
      <c r="U112" s="58">
        <f t="shared" si="14"/>
        <v>0</v>
      </c>
      <c r="V112" s="58">
        <f t="shared" si="15"/>
        <v>0</v>
      </c>
    </row>
    <row r="113" spans="1:22">
      <c r="A113" s="6" t="s">
        <v>228</v>
      </c>
      <c r="B113">
        <v>15</v>
      </c>
      <c r="C113" s="16">
        <f t="shared" si="8"/>
        <v>1</v>
      </c>
      <c r="E113" s="6" t="s">
        <v>93</v>
      </c>
      <c r="F113" s="6" t="s">
        <v>94</v>
      </c>
      <c r="G113" s="8">
        <v>24</v>
      </c>
      <c r="H113" s="16">
        <f t="shared" si="9"/>
        <v>1</v>
      </c>
      <c r="N113" s="6" t="s">
        <v>228</v>
      </c>
      <c r="O113" s="58">
        <v>15</v>
      </c>
      <c r="P113" s="58">
        <f t="shared" si="10"/>
        <v>1</v>
      </c>
      <c r="Q113">
        <v>2</v>
      </c>
      <c r="R113" s="58">
        <f t="shared" si="11"/>
        <v>1</v>
      </c>
      <c r="S113" s="58">
        <f t="shared" si="12"/>
        <v>0</v>
      </c>
      <c r="T113" s="58">
        <f t="shared" si="13"/>
        <v>0</v>
      </c>
      <c r="U113" s="58">
        <f t="shared" si="14"/>
        <v>0</v>
      </c>
      <c r="V113" s="58">
        <f t="shared" si="15"/>
        <v>1</v>
      </c>
    </row>
    <row r="114" spans="1:22">
      <c r="A114" s="6" t="s">
        <v>230</v>
      </c>
      <c r="B114">
        <v>6</v>
      </c>
      <c r="C114" s="16">
        <f t="shared" si="8"/>
        <v>1</v>
      </c>
      <c r="E114" s="6" t="s">
        <v>95</v>
      </c>
      <c r="F114" s="6" t="s">
        <v>96</v>
      </c>
      <c r="G114" s="8">
        <v>42</v>
      </c>
      <c r="H114" s="16">
        <f t="shared" si="9"/>
        <v>1</v>
      </c>
      <c r="N114" s="6" t="s">
        <v>230</v>
      </c>
      <c r="O114" s="58">
        <v>6</v>
      </c>
      <c r="P114" s="58">
        <f t="shared" si="10"/>
        <v>1</v>
      </c>
      <c r="Q114">
        <v>0</v>
      </c>
      <c r="R114" s="58">
        <f t="shared" si="11"/>
        <v>0</v>
      </c>
      <c r="S114" s="58">
        <f t="shared" si="12"/>
        <v>0</v>
      </c>
      <c r="T114" s="58">
        <f t="shared" si="13"/>
        <v>1</v>
      </c>
      <c r="U114" s="58">
        <f t="shared" si="14"/>
        <v>0</v>
      </c>
      <c r="V114" s="58">
        <f t="shared" si="15"/>
        <v>0</v>
      </c>
    </row>
    <row r="115" spans="1:22">
      <c r="A115" s="6" t="s">
        <v>231</v>
      </c>
      <c r="B115">
        <v>0</v>
      </c>
      <c r="C115" s="16">
        <f t="shared" si="8"/>
        <v>0</v>
      </c>
      <c r="E115" s="6" t="s">
        <v>95</v>
      </c>
      <c r="F115" s="6" t="s">
        <v>97</v>
      </c>
      <c r="G115" s="8">
        <v>0</v>
      </c>
      <c r="H115" s="16">
        <f t="shared" si="9"/>
        <v>0</v>
      </c>
      <c r="N115" s="6" t="s">
        <v>231</v>
      </c>
      <c r="O115" s="58">
        <v>0</v>
      </c>
      <c r="P115" s="58">
        <f t="shared" si="10"/>
        <v>0</v>
      </c>
      <c r="Q115">
        <v>9</v>
      </c>
      <c r="R115" s="58">
        <f t="shared" si="11"/>
        <v>1</v>
      </c>
      <c r="S115" s="58">
        <f t="shared" si="12"/>
        <v>0</v>
      </c>
      <c r="T115" s="58">
        <f t="shared" si="13"/>
        <v>0</v>
      </c>
      <c r="U115" s="58">
        <f t="shared" si="14"/>
        <v>1</v>
      </c>
      <c r="V115" s="58">
        <f t="shared" si="15"/>
        <v>0</v>
      </c>
    </row>
    <row r="116" spans="1:22">
      <c r="A116" s="6" t="s">
        <v>234</v>
      </c>
      <c r="B116">
        <v>0</v>
      </c>
      <c r="C116" s="16">
        <f t="shared" si="8"/>
        <v>0</v>
      </c>
      <c r="E116" s="6" t="s">
        <v>95</v>
      </c>
      <c r="F116" s="6" t="s">
        <v>98</v>
      </c>
      <c r="G116" s="8">
        <v>38</v>
      </c>
      <c r="H116" s="16">
        <f t="shared" si="9"/>
        <v>1</v>
      </c>
      <c r="N116" s="6" t="s">
        <v>234</v>
      </c>
      <c r="O116" s="58">
        <v>0</v>
      </c>
      <c r="P116" s="58">
        <f t="shared" si="10"/>
        <v>0</v>
      </c>
      <c r="Q116">
        <v>3</v>
      </c>
      <c r="R116" s="58">
        <f t="shared" si="11"/>
        <v>1</v>
      </c>
      <c r="S116" s="58">
        <f t="shared" si="12"/>
        <v>0</v>
      </c>
      <c r="T116" s="58">
        <f t="shared" si="13"/>
        <v>0</v>
      </c>
      <c r="U116" s="58">
        <f t="shared" si="14"/>
        <v>1</v>
      </c>
      <c r="V116" s="58">
        <f t="shared" si="15"/>
        <v>0</v>
      </c>
    </row>
    <row r="117" spans="1:22">
      <c r="A117" s="6" t="s">
        <v>235</v>
      </c>
      <c r="B117">
        <v>0</v>
      </c>
      <c r="C117" s="16">
        <f t="shared" si="8"/>
        <v>0</v>
      </c>
      <c r="E117" s="6" t="s">
        <v>95</v>
      </c>
      <c r="F117" s="6" t="s">
        <v>99</v>
      </c>
      <c r="G117" s="8">
        <v>0</v>
      </c>
      <c r="H117" s="16">
        <f t="shared" si="9"/>
        <v>0</v>
      </c>
      <c r="N117" s="6" t="s">
        <v>235</v>
      </c>
      <c r="O117" s="58">
        <v>0</v>
      </c>
      <c r="P117" s="58">
        <f t="shared" si="10"/>
        <v>0</v>
      </c>
      <c r="Q117">
        <v>2</v>
      </c>
      <c r="R117" s="58">
        <f t="shared" si="11"/>
        <v>1</v>
      </c>
      <c r="S117" s="58">
        <f t="shared" si="12"/>
        <v>0</v>
      </c>
      <c r="T117" s="58">
        <f t="shared" si="13"/>
        <v>0</v>
      </c>
      <c r="U117" s="58">
        <f t="shared" si="14"/>
        <v>1</v>
      </c>
      <c r="V117" s="58">
        <f t="shared" si="15"/>
        <v>0</v>
      </c>
    </row>
    <row r="118" spans="1:22">
      <c r="A118" s="6" t="s">
        <v>236</v>
      </c>
      <c r="B118">
        <v>0</v>
      </c>
      <c r="C118" s="16">
        <f t="shared" si="8"/>
        <v>0</v>
      </c>
      <c r="E118" s="6" t="s">
        <v>100</v>
      </c>
      <c r="F118" s="6" t="s">
        <v>101</v>
      </c>
      <c r="G118" s="8">
        <v>10</v>
      </c>
      <c r="H118" s="16">
        <f t="shared" si="9"/>
        <v>1</v>
      </c>
      <c r="N118" s="6" t="s">
        <v>236</v>
      </c>
      <c r="O118" s="58">
        <v>0</v>
      </c>
      <c r="P118" s="58">
        <f t="shared" si="10"/>
        <v>0</v>
      </c>
      <c r="Q118">
        <v>3</v>
      </c>
      <c r="R118" s="58">
        <f t="shared" si="11"/>
        <v>1</v>
      </c>
      <c r="S118" s="58">
        <f t="shared" si="12"/>
        <v>0</v>
      </c>
      <c r="T118" s="58">
        <f t="shared" si="13"/>
        <v>0</v>
      </c>
      <c r="U118" s="58">
        <f t="shared" si="14"/>
        <v>1</v>
      </c>
      <c r="V118" s="58">
        <f t="shared" si="15"/>
        <v>0</v>
      </c>
    </row>
    <row r="119" spans="1:22">
      <c r="A119" s="6" t="s">
        <v>237</v>
      </c>
      <c r="B119">
        <v>0</v>
      </c>
      <c r="C119" s="16">
        <f t="shared" si="8"/>
        <v>0</v>
      </c>
      <c r="E119" s="6" t="s">
        <v>100</v>
      </c>
      <c r="F119" s="6" t="s">
        <v>102</v>
      </c>
      <c r="G119" s="8">
        <v>14</v>
      </c>
      <c r="H119" s="16">
        <f t="shared" si="9"/>
        <v>1</v>
      </c>
      <c r="N119" s="6" t="s">
        <v>237</v>
      </c>
      <c r="O119" s="58">
        <v>0</v>
      </c>
      <c r="P119" s="58">
        <f t="shared" si="10"/>
        <v>0</v>
      </c>
      <c r="Q119">
        <v>4</v>
      </c>
      <c r="R119" s="58">
        <f t="shared" si="11"/>
        <v>1</v>
      </c>
      <c r="S119" s="58">
        <f t="shared" si="12"/>
        <v>0</v>
      </c>
      <c r="T119" s="58">
        <f t="shared" si="13"/>
        <v>0</v>
      </c>
      <c r="U119" s="58">
        <f t="shared" si="14"/>
        <v>1</v>
      </c>
      <c r="V119" s="58">
        <f t="shared" si="15"/>
        <v>0</v>
      </c>
    </row>
    <row r="120" spans="1:22">
      <c r="A120" s="6" t="s">
        <v>238</v>
      </c>
      <c r="B120">
        <v>0</v>
      </c>
      <c r="C120" s="16">
        <f t="shared" si="8"/>
        <v>0</v>
      </c>
      <c r="E120" s="6" t="s">
        <v>100</v>
      </c>
      <c r="F120" s="6" t="s">
        <v>103</v>
      </c>
      <c r="G120" s="8">
        <v>17</v>
      </c>
      <c r="H120" s="16">
        <f t="shared" si="9"/>
        <v>1</v>
      </c>
      <c r="N120" s="6" t="s">
        <v>238</v>
      </c>
      <c r="O120" s="58">
        <v>0</v>
      </c>
      <c r="P120" s="58">
        <f t="shared" si="10"/>
        <v>0</v>
      </c>
      <c r="Q120">
        <v>21</v>
      </c>
      <c r="R120" s="58">
        <f t="shared" si="11"/>
        <v>1</v>
      </c>
      <c r="S120" s="58">
        <f t="shared" si="12"/>
        <v>0</v>
      </c>
      <c r="T120" s="58">
        <f t="shared" si="13"/>
        <v>0</v>
      </c>
      <c r="U120" s="58">
        <f t="shared" si="14"/>
        <v>1</v>
      </c>
      <c r="V120" s="58">
        <f t="shared" si="15"/>
        <v>0</v>
      </c>
    </row>
    <row r="121" spans="1:22">
      <c r="A121" s="6" t="s">
        <v>240</v>
      </c>
      <c r="B121">
        <v>0</v>
      </c>
      <c r="C121" s="16">
        <f t="shared" si="8"/>
        <v>0</v>
      </c>
      <c r="E121" s="6" t="s">
        <v>104</v>
      </c>
      <c r="F121" s="6" t="s">
        <v>105</v>
      </c>
      <c r="G121" s="8">
        <v>0</v>
      </c>
      <c r="H121" s="16">
        <f t="shared" si="9"/>
        <v>0</v>
      </c>
      <c r="N121" s="6" t="s">
        <v>240</v>
      </c>
      <c r="O121" s="58">
        <v>0</v>
      </c>
      <c r="P121" s="58">
        <f t="shared" si="10"/>
        <v>0</v>
      </c>
      <c r="Q121">
        <v>12</v>
      </c>
      <c r="R121" s="58">
        <f t="shared" si="11"/>
        <v>1</v>
      </c>
      <c r="S121" s="58">
        <f t="shared" si="12"/>
        <v>0</v>
      </c>
      <c r="T121" s="58">
        <f t="shared" si="13"/>
        <v>0</v>
      </c>
      <c r="U121" s="58">
        <f t="shared" si="14"/>
        <v>1</v>
      </c>
      <c r="V121" s="58">
        <f t="shared" si="15"/>
        <v>0</v>
      </c>
    </row>
    <row r="122" spans="1:22">
      <c r="A122" s="6" t="s">
        <v>245</v>
      </c>
      <c r="B122">
        <v>0</v>
      </c>
      <c r="C122" s="16">
        <f t="shared" si="8"/>
        <v>0</v>
      </c>
      <c r="E122" s="6" t="s">
        <v>106</v>
      </c>
      <c r="F122" s="6" t="s">
        <v>107</v>
      </c>
      <c r="G122" s="8">
        <v>0</v>
      </c>
      <c r="H122" s="16">
        <f t="shared" si="9"/>
        <v>0</v>
      </c>
      <c r="N122" s="6" t="s">
        <v>245</v>
      </c>
      <c r="O122" s="58">
        <v>0</v>
      </c>
      <c r="P122" s="58">
        <f t="shared" si="10"/>
        <v>0</v>
      </c>
      <c r="Q122">
        <v>2</v>
      </c>
      <c r="R122" s="58">
        <f t="shared" si="11"/>
        <v>1</v>
      </c>
      <c r="S122" s="58">
        <f t="shared" si="12"/>
        <v>0</v>
      </c>
      <c r="T122" s="58">
        <f t="shared" si="13"/>
        <v>0</v>
      </c>
      <c r="U122" s="58">
        <f t="shared" si="14"/>
        <v>1</v>
      </c>
      <c r="V122" s="58">
        <f t="shared" si="15"/>
        <v>0</v>
      </c>
    </row>
    <row r="123" spans="1:22">
      <c r="A123" s="6" t="s">
        <v>247</v>
      </c>
      <c r="B123">
        <v>0</v>
      </c>
      <c r="C123" s="16">
        <f t="shared" si="8"/>
        <v>0</v>
      </c>
      <c r="E123" s="6" t="s">
        <v>106</v>
      </c>
      <c r="F123" s="6" t="s">
        <v>108</v>
      </c>
      <c r="G123" s="8">
        <v>0</v>
      </c>
      <c r="H123" s="16">
        <f t="shared" si="9"/>
        <v>0</v>
      </c>
      <c r="N123" s="6" t="s">
        <v>247</v>
      </c>
      <c r="O123" s="58">
        <v>0</v>
      </c>
      <c r="P123" s="58">
        <f t="shared" si="10"/>
        <v>0</v>
      </c>
      <c r="Q123">
        <v>0</v>
      </c>
      <c r="R123" s="58">
        <f t="shared" si="11"/>
        <v>0</v>
      </c>
      <c r="S123" s="58">
        <f t="shared" si="12"/>
        <v>1</v>
      </c>
      <c r="T123" s="58">
        <f t="shared" si="13"/>
        <v>0</v>
      </c>
      <c r="U123" s="58">
        <f t="shared" si="14"/>
        <v>0</v>
      </c>
      <c r="V123" s="58">
        <f t="shared" si="15"/>
        <v>0</v>
      </c>
    </row>
    <row r="124" spans="1:22">
      <c r="A124" s="6" t="s">
        <v>249</v>
      </c>
      <c r="B124">
        <v>1</v>
      </c>
      <c r="C124" s="16">
        <f t="shared" si="8"/>
        <v>1</v>
      </c>
      <c r="E124" s="6" t="s">
        <v>109</v>
      </c>
      <c r="F124" s="6" t="s">
        <v>110</v>
      </c>
      <c r="G124" s="8">
        <v>4</v>
      </c>
      <c r="H124" s="16">
        <f t="shared" si="9"/>
        <v>1</v>
      </c>
      <c r="N124" s="6" t="s">
        <v>249</v>
      </c>
      <c r="O124" s="58">
        <v>1</v>
      </c>
      <c r="P124" s="58">
        <f t="shared" si="10"/>
        <v>1</v>
      </c>
      <c r="Q124">
        <v>0</v>
      </c>
      <c r="R124" s="58">
        <f t="shared" si="11"/>
        <v>0</v>
      </c>
      <c r="S124" s="58">
        <f t="shared" si="12"/>
        <v>0</v>
      </c>
      <c r="T124" s="58">
        <f t="shared" si="13"/>
        <v>1</v>
      </c>
      <c r="U124" s="58">
        <f t="shared" si="14"/>
        <v>0</v>
      </c>
      <c r="V124" s="58">
        <f t="shared" si="15"/>
        <v>0</v>
      </c>
    </row>
    <row r="125" spans="1:22">
      <c r="A125" s="6" t="s">
        <v>252</v>
      </c>
      <c r="B125">
        <v>1</v>
      </c>
      <c r="C125" s="16">
        <f t="shared" si="8"/>
        <v>1</v>
      </c>
      <c r="E125" s="6" t="s">
        <v>109</v>
      </c>
      <c r="F125" s="6" t="s">
        <v>111</v>
      </c>
      <c r="G125" s="8">
        <v>0</v>
      </c>
      <c r="H125" s="16">
        <f t="shared" si="9"/>
        <v>0</v>
      </c>
      <c r="N125" s="6" t="s">
        <v>252</v>
      </c>
      <c r="O125" s="58">
        <v>1</v>
      </c>
      <c r="P125" s="58">
        <f t="shared" si="10"/>
        <v>1</v>
      </c>
      <c r="Q125">
        <v>1</v>
      </c>
      <c r="R125" s="58">
        <f t="shared" si="11"/>
        <v>1</v>
      </c>
      <c r="S125" s="58">
        <f t="shared" si="12"/>
        <v>0</v>
      </c>
      <c r="T125" s="58">
        <f t="shared" si="13"/>
        <v>0</v>
      </c>
      <c r="U125" s="58">
        <f t="shared" si="14"/>
        <v>0</v>
      </c>
      <c r="V125" s="58">
        <f t="shared" si="15"/>
        <v>1</v>
      </c>
    </row>
    <row r="126" spans="1:22">
      <c r="A126" s="6" t="s">
        <v>254</v>
      </c>
      <c r="B126">
        <v>0</v>
      </c>
      <c r="C126" s="16">
        <f t="shared" si="8"/>
        <v>0</v>
      </c>
      <c r="E126" s="6" t="s">
        <v>109</v>
      </c>
      <c r="F126" s="6" t="s">
        <v>112</v>
      </c>
      <c r="G126" s="8">
        <v>0</v>
      </c>
      <c r="H126" s="16">
        <f t="shared" si="9"/>
        <v>0</v>
      </c>
      <c r="N126" s="6" t="s">
        <v>254</v>
      </c>
      <c r="O126" s="58">
        <v>0</v>
      </c>
      <c r="P126" s="58">
        <f t="shared" si="10"/>
        <v>0</v>
      </c>
      <c r="Q126">
        <v>3</v>
      </c>
      <c r="R126" s="58">
        <f t="shared" si="11"/>
        <v>1</v>
      </c>
      <c r="S126" s="58">
        <f t="shared" si="12"/>
        <v>0</v>
      </c>
      <c r="T126" s="58">
        <f t="shared" si="13"/>
        <v>0</v>
      </c>
      <c r="U126" s="58">
        <f t="shared" si="14"/>
        <v>1</v>
      </c>
      <c r="V126" s="58">
        <f t="shared" si="15"/>
        <v>0</v>
      </c>
    </row>
    <row r="127" spans="1:22">
      <c r="A127" s="6" t="s">
        <v>256</v>
      </c>
      <c r="B127">
        <v>0</v>
      </c>
      <c r="C127" s="16">
        <f t="shared" si="8"/>
        <v>0</v>
      </c>
      <c r="E127" s="6" t="s">
        <v>109</v>
      </c>
      <c r="F127" s="6" t="s">
        <v>113</v>
      </c>
      <c r="G127" s="8">
        <v>0</v>
      </c>
      <c r="H127" s="16">
        <f t="shared" si="9"/>
        <v>0</v>
      </c>
      <c r="N127" s="6" t="s">
        <v>256</v>
      </c>
      <c r="O127" s="58">
        <v>0</v>
      </c>
      <c r="P127" s="58">
        <f t="shared" si="10"/>
        <v>0</v>
      </c>
      <c r="Q127">
        <v>0</v>
      </c>
      <c r="R127" s="58">
        <f t="shared" si="11"/>
        <v>0</v>
      </c>
      <c r="S127" s="58">
        <f t="shared" si="12"/>
        <v>1</v>
      </c>
      <c r="T127" s="58">
        <f t="shared" si="13"/>
        <v>0</v>
      </c>
      <c r="U127" s="58">
        <f t="shared" si="14"/>
        <v>0</v>
      </c>
      <c r="V127" s="58">
        <f t="shared" si="15"/>
        <v>0</v>
      </c>
    </row>
    <row r="128" spans="1:22">
      <c r="A128" s="6" t="s">
        <v>258</v>
      </c>
      <c r="B128">
        <v>15</v>
      </c>
      <c r="C128" s="16">
        <f t="shared" si="8"/>
        <v>1</v>
      </c>
      <c r="E128" s="6" t="s">
        <v>109</v>
      </c>
      <c r="F128" s="6" t="s">
        <v>114</v>
      </c>
      <c r="G128" s="8">
        <v>0</v>
      </c>
      <c r="H128" s="16">
        <f t="shared" si="9"/>
        <v>0</v>
      </c>
      <c r="N128" s="6" t="s">
        <v>258</v>
      </c>
      <c r="O128" s="58">
        <v>15</v>
      </c>
      <c r="P128" s="58">
        <f t="shared" si="10"/>
        <v>1</v>
      </c>
      <c r="Q128">
        <v>2</v>
      </c>
      <c r="R128" s="58">
        <f t="shared" si="11"/>
        <v>1</v>
      </c>
      <c r="S128" s="58">
        <f t="shared" si="12"/>
        <v>0</v>
      </c>
      <c r="T128" s="58">
        <f t="shared" si="13"/>
        <v>0</v>
      </c>
      <c r="U128" s="58">
        <f t="shared" si="14"/>
        <v>0</v>
      </c>
      <c r="V128" s="58">
        <f t="shared" si="15"/>
        <v>1</v>
      </c>
    </row>
    <row r="129" spans="1:22">
      <c r="A129" s="6" t="s">
        <v>259</v>
      </c>
      <c r="B129">
        <v>6</v>
      </c>
      <c r="C129" s="16">
        <f t="shared" si="8"/>
        <v>1</v>
      </c>
      <c r="E129" s="6" t="s">
        <v>115</v>
      </c>
      <c r="F129" s="6" t="s">
        <v>116</v>
      </c>
      <c r="G129" s="8">
        <v>0</v>
      </c>
      <c r="H129" s="16">
        <f t="shared" si="9"/>
        <v>0</v>
      </c>
      <c r="N129" s="6" t="s">
        <v>259</v>
      </c>
      <c r="O129" s="58">
        <v>6</v>
      </c>
      <c r="P129" s="58">
        <f t="shared" si="10"/>
        <v>1</v>
      </c>
      <c r="Q129">
        <v>0</v>
      </c>
      <c r="R129" s="58">
        <f t="shared" si="11"/>
        <v>0</v>
      </c>
      <c r="S129" s="58">
        <f t="shared" si="12"/>
        <v>0</v>
      </c>
      <c r="T129" s="58">
        <f t="shared" si="13"/>
        <v>1</v>
      </c>
      <c r="U129" s="58">
        <f t="shared" si="14"/>
        <v>0</v>
      </c>
      <c r="V129" s="58">
        <f t="shared" si="15"/>
        <v>0</v>
      </c>
    </row>
    <row r="130" spans="1:22">
      <c r="A130" s="6" t="s">
        <v>260</v>
      </c>
      <c r="B130">
        <v>0</v>
      </c>
      <c r="C130" s="16">
        <f t="shared" si="8"/>
        <v>0</v>
      </c>
      <c r="E130" s="6" t="s">
        <v>115</v>
      </c>
      <c r="F130" s="6" t="s">
        <v>112</v>
      </c>
      <c r="G130" s="8">
        <v>0</v>
      </c>
      <c r="H130" s="16">
        <f t="shared" si="9"/>
        <v>0</v>
      </c>
      <c r="N130" s="6" t="s">
        <v>260</v>
      </c>
      <c r="O130" s="58">
        <v>0</v>
      </c>
      <c r="P130" s="58">
        <f t="shared" si="10"/>
        <v>0</v>
      </c>
      <c r="Q130">
        <v>10</v>
      </c>
      <c r="R130" s="58">
        <f t="shared" si="11"/>
        <v>1</v>
      </c>
      <c r="S130" s="58">
        <f t="shared" si="12"/>
        <v>0</v>
      </c>
      <c r="T130" s="58">
        <f t="shared" si="13"/>
        <v>0</v>
      </c>
      <c r="U130" s="58">
        <f t="shared" si="14"/>
        <v>1</v>
      </c>
      <c r="V130" s="58">
        <f t="shared" si="15"/>
        <v>0</v>
      </c>
    </row>
    <row r="131" spans="1:22">
      <c r="A131" s="6" t="s">
        <v>263</v>
      </c>
      <c r="B131">
        <v>5</v>
      </c>
      <c r="C131" s="16">
        <f t="shared" ref="C131:C194" si="16">IF(B131=0,0,1)</f>
        <v>1</v>
      </c>
      <c r="E131" s="6" t="s">
        <v>115</v>
      </c>
      <c r="F131" s="6" t="s">
        <v>105</v>
      </c>
      <c r="G131" s="8">
        <v>0</v>
      </c>
      <c r="H131" s="16">
        <f t="shared" ref="H131:H194" si="17">IF(G131=0,0,1)</f>
        <v>0</v>
      </c>
      <c r="N131" s="6" t="s">
        <v>263</v>
      </c>
      <c r="O131" s="58">
        <v>5</v>
      </c>
      <c r="P131" s="58">
        <f t="shared" ref="P131:P194" si="18">IF(O131=0,0,1)</f>
        <v>1</v>
      </c>
      <c r="Q131">
        <v>1</v>
      </c>
      <c r="R131" s="58">
        <f t="shared" ref="R131:R194" si="19">IF(Q131=0,0,1)</f>
        <v>1</v>
      </c>
      <c r="S131" s="58">
        <f t="shared" ref="S131:S194" si="20">IF(AND(P131=0,R131 = 0), 1, 0)</f>
        <v>0</v>
      </c>
      <c r="T131" s="58">
        <f t="shared" ref="T131:T194" si="21">IF(AND(P131=1,R131=0),1,0)</f>
        <v>0</v>
      </c>
      <c r="U131" s="58">
        <f t="shared" ref="U131:U194" si="22">IF(AND(P131=0,R131=1),1,0)</f>
        <v>0</v>
      </c>
      <c r="V131" s="58">
        <f t="shared" ref="V131:V194" si="23">IF(AND(P131=1,R131=1),1,0)</f>
        <v>1</v>
      </c>
    </row>
    <row r="132" spans="1:22">
      <c r="A132" s="6" t="s">
        <v>274</v>
      </c>
      <c r="B132">
        <v>0</v>
      </c>
      <c r="C132" s="16">
        <f t="shared" si="16"/>
        <v>0</v>
      </c>
      <c r="E132" s="6" t="s">
        <v>115</v>
      </c>
      <c r="F132" s="6" t="s">
        <v>117</v>
      </c>
      <c r="G132" s="8">
        <v>0</v>
      </c>
      <c r="H132" s="16">
        <f t="shared" si="17"/>
        <v>0</v>
      </c>
      <c r="N132" s="6" t="s">
        <v>274</v>
      </c>
      <c r="O132" s="58">
        <v>0</v>
      </c>
      <c r="P132" s="58">
        <f t="shared" si="18"/>
        <v>0</v>
      </c>
      <c r="Q132">
        <v>0</v>
      </c>
      <c r="R132" s="58">
        <f t="shared" si="19"/>
        <v>0</v>
      </c>
      <c r="S132" s="58">
        <f t="shared" si="20"/>
        <v>1</v>
      </c>
      <c r="T132" s="58">
        <f t="shared" si="21"/>
        <v>0</v>
      </c>
      <c r="U132" s="58">
        <f t="shared" si="22"/>
        <v>0</v>
      </c>
      <c r="V132" s="58">
        <f t="shared" si="23"/>
        <v>0</v>
      </c>
    </row>
    <row r="133" spans="1:22">
      <c r="A133" s="6" t="s">
        <v>275</v>
      </c>
      <c r="B133">
        <v>5</v>
      </c>
      <c r="C133" s="16">
        <f t="shared" si="16"/>
        <v>1</v>
      </c>
      <c r="E133" s="6" t="s">
        <v>115</v>
      </c>
      <c r="F133" s="6" t="s">
        <v>118</v>
      </c>
      <c r="G133" s="8">
        <v>0</v>
      </c>
      <c r="H133" s="16">
        <f t="shared" si="17"/>
        <v>0</v>
      </c>
      <c r="N133" s="6" t="s">
        <v>275</v>
      </c>
      <c r="O133" s="58">
        <v>5</v>
      </c>
      <c r="P133" s="58">
        <f t="shared" si="18"/>
        <v>1</v>
      </c>
      <c r="Q133">
        <v>7</v>
      </c>
      <c r="R133" s="58">
        <f t="shared" si="19"/>
        <v>1</v>
      </c>
      <c r="S133" s="58">
        <f t="shared" si="20"/>
        <v>0</v>
      </c>
      <c r="T133" s="58">
        <f t="shared" si="21"/>
        <v>0</v>
      </c>
      <c r="U133" s="58">
        <f t="shared" si="22"/>
        <v>0</v>
      </c>
      <c r="V133" s="58">
        <f t="shared" si="23"/>
        <v>1</v>
      </c>
    </row>
    <row r="134" spans="1:22">
      <c r="A134" s="6" t="s">
        <v>276</v>
      </c>
      <c r="B134">
        <v>0</v>
      </c>
      <c r="C134" s="16">
        <f t="shared" si="16"/>
        <v>0</v>
      </c>
      <c r="E134" s="6" t="s">
        <v>119</v>
      </c>
      <c r="F134" s="6" t="s">
        <v>120</v>
      </c>
      <c r="G134" s="8">
        <v>1</v>
      </c>
      <c r="H134" s="16">
        <f t="shared" si="17"/>
        <v>1</v>
      </c>
      <c r="N134" s="6" t="s">
        <v>276</v>
      </c>
      <c r="O134" s="58">
        <v>0</v>
      </c>
      <c r="P134" s="58">
        <f t="shared" si="18"/>
        <v>0</v>
      </c>
      <c r="Q134">
        <v>0</v>
      </c>
      <c r="R134" s="58">
        <f t="shared" si="19"/>
        <v>0</v>
      </c>
      <c r="S134" s="58">
        <f t="shared" si="20"/>
        <v>1</v>
      </c>
      <c r="T134" s="58">
        <f t="shared" si="21"/>
        <v>0</v>
      </c>
      <c r="U134" s="58">
        <f t="shared" si="22"/>
        <v>0</v>
      </c>
      <c r="V134" s="58">
        <f t="shared" si="23"/>
        <v>0</v>
      </c>
    </row>
    <row r="135" spans="1:22">
      <c r="A135" s="6" t="s">
        <v>277</v>
      </c>
      <c r="B135">
        <v>13</v>
      </c>
      <c r="C135" s="16">
        <f t="shared" si="16"/>
        <v>1</v>
      </c>
      <c r="E135" s="6" t="s">
        <v>121</v>
      </c>
      <c r="F135" s="6" t="s">
        <v>122</v>
      </c>
      <c r="G135" s="8">
        <v>1</v>
      </c>
      <c r="H135" s="16">
        <f t="shared" si="17"/>
        <v>1</v>
      </c>
      <c r="N135" s="6" t="s">
        <v>277</v>
      </c>
      <c r="O135" s="58">
        <v>13</v>
      </c>
      <c r="P135" s="58">
        <f t="shared" si="18"/>
        <v>1</v>
      </c>
      <c r="Q135">
        <v>3</v>
      </c>
      <c r="R135" s="58">
        <f t="shared" si="19"/>
        <v>1</v>
      </c>
      <c r="S135" s="58">
        <f t="shared" si="20"/>
        <v>0</v>
      </c>
      <c r="T135" s="58">
        <f t="shared" si="21"/>
        <v>0</v>
      </c>
      <c r="U135" s="58">
        <f t="shared" si="22"/>
        <v>0</v>
      </c>
      <c r="V135" s="58">
        <f t="shared" si="23"/>
        <v>1</v>
      </c>
    </row>
    <row r="136" spans="1:22">
      <c r="A136" s="6" t="s">
        <v>278</v>
      </c>
      <c r="B136">
        <v>0</v>
      </c>
      <c r="C136" s="16">
        <f t="shared" si="16"/>
        <v>0</v>
      </c>
      <c r="E136" s="6" t="s">
        <v>123</v>
      </c>
      <c r="F136" s="6" t="s">
        <v>124</v>
      </c>
      <c r="G136" s="8">
        <v>0</v>
      </c>
      <c r="H136" s="16">
        <f t="shared" si="17"/>
        <v>0</v>
      </c>
      <c r="N136" s="6" t="s">
        <v>278</v>
      </c>
      <c r="O136" s="58">
        <v>0</v>
      </c>
      <c r="P136" s="58">
        <f t="shared" si="18"/>
        <v>0</v>
      </c>
      <c r="Q136">
        <v>0</v>
      </c>
      <c r="R136" s="58">
        <f t="shared" si="19"/>
        <v>0</v>
      </c>
      <c r="S136" s="58">
        <f t="shared" si="20"/>
        <v>1</v>
      </c>
      <c r="T136" s="58">
        <f t="shared" si="21"/>
        <v>0</v>
      </c>
      <c r="U136" s="58">
        <f t="shared" si="22"/>
        <v>0</v>
      </c>
      <c r="V136" s="58">
        <f t="shared" si="23"/>
        <v>0</v>
      </c>
    </row>
    <row r="137" spans="1:22">
      <c r="A137" s="6" t="s">
        <v>285</v>
      </c>
      <c r="B137">
        <v>0</v>
      </c>
      <c r="C137" s="16">
        <f t="shared" si="16"/>
        <v>0</v>
      </c>
      <c r="E137" s="6" t="s">
        <v>123</v>
      </c>
      <c r="F137" s="6" t="s">
        <v>112</v>
      </c>
      <c r="G137" s="8">
        <v>0</v>
      </c>
      <c r="H137" s="16">
        <f t="shared" si="17"/>
        <v>0</v>
      </c>
      <c r="N137" s="6" t="s">
        <v>285</v>
      </c>
      <c r="O137" s="58">
        <v>0</v>
      </c>
      <c r="P137" s="58">
        <f t="shared" si="18"/>
        <v>0</v>
      </c>
      <c r="Q137">
        <v>0</v>
      </c>
      <c r="R137" s="58">
        <f t="shared" si="19"/>
        <v>0</v>
      </c>
      <c r="S137" s="58">
        <f t="shared" si="20"/>
        <v>1</v>
      </c>
      <c r="T137" s="58">
        <f t="shared" si="21"/>
        <v>0</v>
      </c>
      <c r="U137" s="58">
        <f t="shared" si="22"/>
        <v>0</v>
      </c>
      <c r="V137" s="58">
        <f t="shared" si="23"/>
        <v>0</v>
      </c>
    </row>
    <row r="138" spans="1:22">
      <c r="A138" s="6" t="s">
        <v>286</v>
      </c>
      <c r="B138">
        <v>5</v>
      </c>
      <c r="C138" s="16">
        <f t="shared" si="16"/>
        <v>1</v>
      </c>
      <c r="E138" s="6" t="s">
        <v>123</v>
      </c>
      <c r="F138" s="6" t="s">
        <v>125</v>
      </c>
      <c r="G138" s="8">
        <v>0</v>
      </c>
      <c r="H138" s="16">
        <f t="shared" si="17"/>
        <v>0</v>
      </c>
      <c r="N138" s="6" t="s">
        <v>286</v>
      </c>
      <c r="O138" s="58">
        <v>5</v>
      </c>
      <c r="P138" s="58">
        <f t="shared" si="18"/>
        <v>1</v>
      </c>
      <c r="Q138">
        <v>1</v>
      </c>
      <c r="R138" s="58">
        <f t="shared" si="19"/>
        <v>1</v>
      </c>
      <c r="S138" s="58">
        <f t="shared" si="20"/>
        <v>0</v>
      </c>
      <c r="T138" s="58">
        <f t="shared" si="21"/>
        <v>0</v>
      </c>
      <c r="U138" s="58">
        <f t="shared" si="22"/>
        <v>0</v>
      </c>
      <c r="V138" s="58">
        <f t="shared" si="23"/>
        <v>1</v>
      </c>
    </row>
    <row r="139" spans="1:22">
      <c r="A139" s="6" t="s">
        <v>287</v>
      </c>
      <c r="B139">
        <v>0</v>
      </c>
      <c r="C139" s="16">
        <f t="shared" si="16"/>
        <v>0</v>
      </c>
      <c r="E139" s="6" t="s">
        <v>126</v>
      </c>
      <c r="F139" s="6" t="s">
        <v>127</v>
      </c>
      <c r="G139" s="8">
        <v>0</v>
      </c>
      <c r="H139" s="16">
        <f t="shared" si="17"/>
        <v>0</v>
      </c>
      <c r="N139" s="6" t="s">
        <v>287</v>
      </c>
      <c r="O139" s="58">
        <v>0</v>
      </c>
      <c r="P139" s="58">
        <f t="shared" si="18"/>
        <v>0</v>
      </c>
      <c r="Q139">
        <v>0</v>
      </c>
      <c r="R139" s="58">
        <f t="shared" si="19"/>
        <v>0</v>
      </c>
      <c r="S139" s="58">
        <f t="shared" si="20"/>
        <v>1</v>
      </c>
      <c r="T139" s="58">
        <f t="shared" si="21"/>
        <v>0</v>
      </c>
      <c r="U139" s="58">
        <f t="shared" si="22"/>
        <v>0</v>
      </c>
      <c r="V139" s="58">
        <f t="shared" si="23"/>
        <v>0</v>
      </c>
    </row>
    <row r="140" spans="1:22">
      <c r="A140" s="6" t="s">
        <v>288</v>
      </c>
      <c r="B140">
        <v>17</v>
      </c>
      <c r="C140" s="16">
        <f t="shared" si="16"/>
        <v>1</v>
      </c>
      <c r="E140" s="6" t="s">
        <v>128</v>
      </c>
      <c r="F140" s="6" t="s">
        <v>107</v>
      </c>
      <c r="G140" s="8">
        <v>0</v>
      </c>
      <c r="H140" s="16">
        <f t="shared" si="17"/>
        <v>0</v>
      </c>
      <c r="N140" s="6" t="s">
        <v>288</v>
      </c>
      <c r="O140" s="58">
        <v>17</v>
      </c>
      <c r="P140" s="58">
        <f t="shared" si="18"/>
        <v>1</v>
      </c>
      <c r="Q140">
        <v>33</v>
      </c>
      <c r="R140" s="58">
        <f t="shared" si="19"/>
        <v>1</v>
      </c>
      <c r="S140" s="58">
        <f t="shared" si="20"/>
        <v>0</v>
      </c>
      <c r="T140" s="58">
        <f t="shared" si="21"/>
        <v>0</v>
      </c>
      <c r="U140" s="58">
        <f t="shared" si="22"/>
        <v>0</v>
      </c>
      <c r="V140" s="58">
        <f t="shared" si="23"/>
        <v>1</v>
      </c>
    </row>
    <row r="141" spans="1:22">
      <c r="A141" s="6" t="s">
        <v>290</v>
      </c>
      <c r="B141">
        <v>0</v>
      </c>
      <c r="C141" s="16">
        <f t="shared" si="16"/>
        <v>0</v>
      </c>
      <c r="E141" s="6" t="s">
        <v>128</v>
      </c>
      <c r="F141" s="6" t="s">
        <v>108</v>
      </c>
      <c r="G141" s="8">
        <v>0</v>
      </c>
      <c r="H141" s="16">
        <f t="shared" si="17"/>
        <v>0</v>
      </c>
      <c r="N141" s="6" t="s">
        <v>290</v>
      </c>
      <c r="O141" s="58">
        <v>0</v>
      </c>
      <c r="P141" s="58">
        <f t="shared" si="18"/>
        <v>0</v>
      </c>
      <c r="Q141">
        <v>3</v>
      </c>
      <c r="R141" s="58">
        <f t="shared" si="19"/>
        <v>1</v>
      </c>
      <c r="S141" s="58">
        <f t="shared" si="20"/>
        <v>0</v>
      </c>
      <c r="T141" s="58">
        <f t="shared" si="21"/>
        <v>0</v>
      </c>
      <c r="U141" s="58">
        <f t="shared" si="22"/>
        <v>1</v>
      </c>
      <c r="V141" s="58">
        <f t="shared" si="23"/>
        <v>0</v>
      </c>
    </row>
    <row r="142" spans="1:22">
      <c r="A142" s="6" t="s">
        <v>291</v>
      </c>
      <c r="B142">
        <v>0</v>
      </c>
      <c r="C142" s="16">
        <f t="shared" si="16"/>
        <v>0</v>
      </c>
      <c r="E142" s="6" t="s">
        <v>128</v>
      </c>
      <c r="F142" s="6" t="s">
        <v>129</v>
      </c>
      <c r="G142" s="8">
        <v>4</v>
      </c>
      <c r="H142" s="16">
        <f t="shared" si="17"/>
        <v>1</v>
      </c>
      <c r="N142" s="6" t="s">
        <v>291</v>
      </c>
      <c r="O142" s="58">
        <v>0</v>
      </c>
      <c r="P142" s="58">
        <f t="shared" si="18"/>
        <v>0</v>
      </c>
      <c r="Q142">
        <v>0</v>
      </c>
      <c r="R142" s="58">
        <f t="shared" si="19"/>
        <v>0</v>
      </c>
      <c r="S142" s="58">
        <f t="shared" si="20"/>
        <v>1</v>
      </c>
      <c r="T142" s="58">
        <f t="shared" si="21"/>
        <v>0</v>
      </c>
      <c r="U142" s="58">
        <f t="shared" si="22"/>
        <v>0</v>
      </c>
      <c r="V142" s="58">
        <f t="shared" si="23"/>
        <v>0</v>
      </c>
    </row>
    <row r="143" spans="1:22">
      <c r="A143" s="6" t="s">
        <v>292</v>
      </c>
      <c r="B143">
        <v>0</v>
      </c>
      <c r="C143" s="16">
        <f t="shared" si="16"/>
        <v>0</v>
      </c>
      <c r="E143" s="6" t="s">
        <v>130</v>
      </c>
      <c r="F143" s="6" t="s">
        <v>131</v>
      </c>
      <c r="G143" s="8">
        <v>0</v>
      </c>
      <c r="H143" s="16">
        <f t="shared" si="17"/>
        <v>0</v>
      </c>
      <c r="N143" s="6" t="s">
        <v>292</v>
      </c>
      <c r="O143" s="58">
        <v>0</v>
      </c>
      <c r="P143" s="58">
        <f t="shared" si="18"/>
        <v>0</v>
      </c>
      <c r="Q143">
        <v>1</v>
      </c>
      <c r="R143" s="58">
        <f t="shared" si="19"/>
        <v>1</v>
      </c>
      <c r="S143" s="58">
        <f t="shared" si="20"/>
        <v>0</v>
      </c>
      <c r="T143" s="58">
        <f t="shared" si="21"/>
        <v>0</v>
      </c>
      <c r="U143" s="58">
        <f t="shared" si="22"/>
        <v>1</v>
      </c>
      <c r="V143" s="58">
        <f t="shared" si="23"/>
        <v>0</v>
      </c>
    </row>
    <row r="144" spans="1:22">
      <c r="A144" s="6" t="s">
        <v>293</v>
      </c>
      <c r="B144">
        <v>0</v>
      </c>
      <c r="C144" s="16">
        <f t="shared" si="16"/>
        <v>0</v>
      </c>
      <c r="E144" s="6" t="s">
        <v>130</v>
      </c>
      <c r="F144" s="6" t="s">
        <v>132</v>
      </c>
      <c r="G144" s="8">
        <v>0</v>
      </c>
      <c r="H144" s="16">
        <f t="shared" si="17"/>
        <v>0</v>
      </c>
      <c r="N144" s="6" t="s">
        <v>293</v>
      </c>
      <c r="O144" s="58">
        <v>0</v>
      </c>
      <c r="P144" s="58">
        <f t="shared" si="18"/>
        <v>0</v>
      </c>
      <c r="Q144">
        <v>0</v>
      </c>
      <c r="R144" s="58">
        <f t="shared" si="19"/>
        <v>0</v>
      </c>
      <c r="S144" s="58">
        <f t="shared" si="20"/>
        <v>1</v>
      </c>
      <c r="T144" s="58">
        <f t="shared" si="21"/>
        <v>0</v>
      </c>
      <c r="U144" s="58">
        <f t="shared" si="22"/>
        <v>0</v>
      </c>
      <c r="V144" s="58">
        <f t="shared" si="23"/>
        <v>0</v>
      </c>
    </row>
    <row r="145" spans="1:22">
      <c r="A145" s="6" t="s">
        <v>294</v>
      </c>
      <c r="B145">
        <v>0</v>
      </c>
      <c r="C145" s="16">
        <f t="shared" si="16"/>
        <v>0</v>
      </c>
      <c r="E145" s="6" t="s">
        <v>130</v>
      </c>
      <c r="F145" s="6" t="s">
        <v>133</v>
      </c>
      <c r="G145" s="8">
        <v>0</v>
      </c>
      <c r="H145" s="16">
        <f t="shared" si="17"/>
        <v>0</v>
      </c>
      <c r="N145" s="6" t="s">
        <v>294</v>
      </c>
      <c r="O145" s="58">
        <v>0</v>
      </c>
      <c r="P145" s="58">
        <f t="shared" si="18"/>
        <v>0</v>
      </c>
      <c r="Q145">
        <v>0</v>
      </c>
      <c r="R145" s="58">
        <f t="shared" si="19"/>
        <v>0</v>
      </c>
      <c r="S145" s="58">
        <f t="shared" si="20"/>
        <v>1</v>
      </c>
      <c r="T145" s="58">
        <f t="shared" si="21"/>
        <v>0</v>
      </c>
      <c r="U145" s="58">
        <f t="shared" si="22"/>
        <v>0</v>
      </c>
      <c r="V145" s="58">
        <f t="shared" si="23"/>
        <v>0</v>
      </c>
    </row>
    <row r="146" spans="1:22">
      <c r="A146" s="6" t="s">
        <v>295</v>
      </c>
      <c r="B146">
        <v>0</v>
      </c>
      <c r="C146" s="16">
        <f t="shared" si="16"/>
        <v>0</v>
      </c>
      <c r="E146" s="6" t="s">
        <v>134</v>
      </c>
      <c r="F146" s="6" t="s">
        <v>135</v>
      </c>
      <c r="G146" s="8">
        <v>0</v>
      </c>
      <c r="H146" s="16">
        <f t="shared" si="17"/>
        <v>0</v>
      </c>
      <c r="N146" s="6" t="s">
        <v>295</v>
      </c>
      <c r="O146" s="58">
        <v>0</v>
      </c>
      <c r="P146" s="58">
        <f t="shared" si="18"/>
        <v>0</v>
      </c>
      <c r="Q146">
        <v>0</v>
      </c>
      <c r="R146" s="58">
        <f t="shared" si="19"/>
        <v>0</v>
      </c>
      <c r="S146" s="58">
        <f t="shared" si="20"/>
        <v>1</v>
      </c>
      <c r="T146" s="58">
        <f t="shared" si="21"/>
        <v>0</v>
      </c>
      <c r="U146" s="58">
        <f t="shared" si="22"/>
        <v>0</v>
      </c>
      <c r="V146" s="58">
        <f t="shared" si="23"/>
        <v>0</v>
      </c>
    </row>
    <row r="147" spans="1:22">
      <c r="A147" s="6" t="s">
        <v>297</v>
      </c>
      <c r="B147">
        <v>11</v>
      </c>
      <c r="C147" s="16">
        <f t="shared" si="16"/>
        <v>1</v>
      </c>
      <c r="E147" s="6" t="s">
        <v>134</v>
      </c>
      <c r="F147" s="6" t="s">
        <v>136</v>
      </c>
      <c r="G147" s="8">
        <v>0</v>
      </c>
      <c r="H147" s="16">
        <f t="shared" si="17"/>
        <v>0</v>
      </c>
      <c r="N147" s="6" t="s">
        <v>297</v>
      </c>
      <c r="O147" s="58">
        <v>11</v>
      </c>
      <c r="P147" s="58">
        <f t="shared" si="18"/>
        <v>1</v>
      </c>
      <c r="Q147">
        <v>31</v>
      </c>
      <c r="R147" s="58">
        <f t="shared" si="19"/>
        <v>1</v>
      </c>
      <c r="S147" s="58">
        <f t="shared" si="20"/>
        <v>0</v>
      </c>
      <c r="T147" s="58">
        <f t="shared" si="21"/>
        <v>0</v>
      </c>
      <c r="U147" s="58">
        <f t="shared" si="22"/>
        <v>0</v>
      </c>
      <c r="V147" s="58">
        <f t="shared" si="23"/>
        <v>1</v>
      </c>
    </row>
    <row r="148" spans="1:22">
      <c r="A148" s="6" t="s">
        <v>298</v>
      </c>
      <c r="B148">
        <v>0</v>
      </c>
      <c r="C148" s="16">
        <f t="shared" si="16"/>
        <v>0</v>
      </c>
      <c r="E148" s="6" t="s">
        <v>134</v>
      </c>
      <c r="F148" s="6" t="s">
        <v>137</v>
      </c>
      <c r="G148" s="8">
        <v>0</v>
      </c>
      <c r="H148" s="16">
        <f t="shared" si="17"/>
        <v>0</v>
      </c>
      <c r="N148" s="6" t="s">
        <v>298</v>
      </c>
      <c r="O148" s="58">
        <v>0</v>
      </c>
      <c r="P148" s="58">
        <f t="shared" si="18"/>
        <v>0</v>
      </c>
      <c r="Q148">
        <v>1</v>
      </c>
      <c r="R148" s="58">
        <f t="shared" si="19"/>
        <v>1</v>
      </c>
      <c r="S148" s="58">
        <f t="shared" si="20"/>
        <v>0</v>
      </c>
      <c r="T148" s="58">
        <f t="shared" si="21"/>
        <v>0</v>
      </c>
      <c r="U148" s="58">
        <f t="shared" si="22"/>
        <v>1</v>
      </c>
      <c r="V148" s="58">
        <f t="shared" si="23"/>
        <v>0</v>
      </c>
    </row>
    <row r="149" spans="1:22">
      <c r="A149" s="6" t="s">
        <v>299</v>
      </c>
      <c r="B149">
        <v>4</v>
      </c>
      <c r="C149" s="16">
        <f t="shared" si="16"/>
        <v>1</v>
      </c>
      <c r="E149" s="6" t="s">
        <v>138</v>
      </c>
      <c r="F149" s="6" t="s">
        <v>139</v>
      </c>
      <c r="G149" s="8">
        <v>0</v>
      </c>
      <c r="H149" s="16">
        <f t="shared" si="17"/>
        <v>0</v>
      </c>
      <c r="N149" s="6" t="s">
        <v>299</v>
      </c>
      <c r="O149" s="58">
        <v>4</v>
      </c>
      <c r="P149" s="58">
        <f t="shared" si="18"/>
        <v>1</v>
      </c>
      <c r="Q149">
        <v>11</v>
      </c>
      <c r="R149" s="58">
        <f t="shared" si="19"/>
        <v>1</v>
      </c>
      <c r="S149" s="58">
        <f t="shared" si="20"/>
        <v>0</v>
      </c>
      <c r="T149" s="58">
        <f t="shared" si="21"/>
        <v>0</v>
      </c>
      <c r="U149" s="58">
        <f t="shared" si="22"/>
        <v>0</v>
      </c>
      <c r="V149" s="58">
        <f t="shared" si="23"/>
        <v>1</v>
      </c>
    </row>
    <row r="150" spans="1:22">
      <c r="A150" s="6" t="s">
        <v>300</v>
      </c>
      <c r="B150">
        <v>0</v>
      </c>
      <c r="C150" s="16">
        <f t="shared" si="16"/>
        <v>0</v>
      </c>
      <c r="E150" s="6" t="s">
        <v>138</v>
      </c>
      <c r="F150" s="6" t="s">
        <v>140</v>
      </c>
      <c r="G150" s="8">
        <v>0</v>
      </c>
      <c r="H150" s="16">
        <f t="shared" si="17"/>
        <v>0</v>
      </c>
      <c r="N150" s="6" t="s">
        <v>300</v>
      </c>
      <c r="O150" s="58">
        <v>0</v>
      </c>
      <c r="P150" s="58">
        <f t="shared" si="18"/>
        <v>0</v>
      </c>
      <c r="Q150">
        <v>3</v>
      </c>
      <c r="R150" s="58">
        <f t="shared" si="19"/>
        <v>1</v>
      </c>
      <c r="S150" s="58">
        <f t="shared" si="20"/>
        <v>0</v>
      </c>
      <c r="T150" s="58">
        <f t="shared" si="21"/>
        <v>0</v>
      </c>
      <c r="U150" s="58">
        <f t="shared" si="22"/>
        <v>1</v>
      </c>
      <c r="V150" s="58">
        <f t="shared" si="23"/>
        <v>0</v>
      </c>
    </row>
    <row r="151" spans="1:22">
      <c r="A151" s="6" t="s">
        <v>301</v>
      </c>
      <c r="B151">
        <v>0</v>
      </c>
      <c r="C151" s="16">
        <f t="shared" si="16"/>
        <v>0</v>
      </c>
      <c r="E151" s="6" t="s">
        <v>141</v>
      </c>
      <c r="F151" s="6" t="s">
        <v>107</v>
      </c>
      <c r="G151" s="8">
        <v>0</v>
      </c>
      <c r="H151" s="16">
        <f t="shared" si="17"/>
        <v>0</v>
      </c>
      <c r="N151" s="6" t="s">
        <v>301</v>
      </c>
      <c r="O151" s="58">
        <v>0</v>
      </c>
      <c r="P151" s="58">
        <f t="shared" si="18"/>
        <v>0</v>
      </c>
      <c r="Q151">
        <v>2</v>
      </c>
      <c r="R151" s="58">
        <f t="shared" si="19"/>
        <v>1</v>
      </c>
      <c r="S151" s="58">
        <f t="shared" si="20"/>
        <v>0</v>
      </c>
      <c r="T151" s="58">
        <f t="shared" si="21"/>
        <v>0</v>
      </c>
      <c r="U151" s="58">
        <f t="shared" si="22"/>
        <v>1</v>
      </c>
      <c r="V151" s="58">
        <f t="shared" si="23"/>
        <v>0</v>
      </c>
    </row>
    <row r="152" spans="1:22">
      <c r="A152" s="6" t="s">
        <v>302</v>
      </c>
      <c r="B152">
        <v>126</v>
      </c>
      <c r="C152" s="16">
        <f t="shared" si="16"/>
        <v>1</v>
      </c>
      <c r="E152" s="6" t="s">
        <v>141</v>
      </c>
      <c r="F152" s="6" t="s">
        <v>108</v>
      </c>
      <c r="G152" s="8">
        <v>0</v>
      </c>
      <c r="H152" s="16">
        <f t="shared" si="17"/>
        <v>0</v>
      </c>
      <c r="N152" s="6" t="s">
        <v>302</v>
      </c>
      <c r="O152" s="58">
        <v>126</v>
      </c>
      <c r="P152" s="58">
        <f t="shared" si="18"/>
        <v>1</v>
      </c>
      <c r="Q152">
        <v>193</v>
      </c>
      <c r="R152" s="58">
        <f t="shared" si="19"/>
        <v>1</v>
      </c>
      <c r="S152" s="58">
        <f t="shared" si="20"/>
        <v>0</v>
      </c>
      <c r="T152" s="58">
        <f t="shared" si="21"/>
        <v>0</v>
      </c>
      <c r="U152" s="58">
        <f t="shared" si="22"/>
        <v>0</v>
      </c>
      <c r="V152" s="58">
        <f t="shared" si="23"/>
        <v>1</v>
      </c>
    </row>
    <row r="153" spans="1:22">
      <c r="A153" s="6" t="s">
        <v>304</v>
      </c>
      <c r="B153">
        <v>0</v>
      </c>
      <c r="C153" s="16">
        <f t="shared" si="16"/>
        <v>0</v>
      </c>
      <c r="E153" s="6" t="s">
        <v>141</v>
      </c>
      <c r="F153" s="6" t="s">
        <v>129</v>
      </c>
      <c r="G153" s="8">
        <v>4</v>
      </c>
      <c r="H153" s="16">
        <f t="shared" si="17"/>
        <v>1</v>
      </c>
      <c r="N153" s="6" t="s">
        <v>304</v>
      </c>
      <c r="O153" s="58">
        <v>0</v>
      </c>
      <c r="P153" s="58">
        <f t="shared" si="18"/>
        <v>0</v>
      </c>
      <c r="Q153">
        <v>0</v>
      </c>
      <c r="R153" s="58">
        <f t="shared" si="19"/>
        <v>0</v>
      </c>
      <c r="S153" s="58">
        <f t="shared" si="20"/>
        <v>1</v>
      </c>
      <c r="T153" s="58">
        <f t="shared" si="21"/>
        <v>0</v>
      </c>
      <c r="U153" s="58">
        <f t="shared" si="22"/>
        <v>0</v>
      </c>
      <c r="V153" s="58">
        <f t="shared" si="23"/>
        <v>0</v>
      </c>
    </row>
    <row r="154" spans="1:22">
      <c r="A154" s="6" t="s">
        <v>305</v>
      </c>
      <c r="B154">
        <v>0</v>
      </c>
      <c r="C154" s="16">
        <f t="shared" si="16"/>
        <v>0</v>
      </c>
      <c r="E154" s="6" t="s">
        <v>142</v>
      </c>
      <c r="F154" s="6" t="s">
        <v>135</v>
      </c>
      <c r="G154" s="8">
        <v>0</v>
      </c>
      <c r="H154" s="16">
        <f t="shared" si="17"/>
        <v>0</v>
      </c>
      <c r="N154" s="6" t="s">
        <v>305</v>
      </c>
      <c r="O154" s="58">
        <v>0</v>
      </c>
      <c r="P154" s="58">
        <f t="shared" si="18"/>
        <v>0</v>
      </c>
      <c r="Q154">
        <v>0</v>
      </c>
      <c r="R154" s="58">
        <f t="shared" si="19"/>
        <v>0</v>
      </c>
      <c r="S154" s="58">
        <f t="shared" si="20"/>
        <v>1</v>
      </c>
      <c r="T154" s="58">
        <f t="shared" si="21"/>
        <v>0</v>
      </c>
      <c r="U154" s="58">
        <f t="shared" si="22"/>
        <v>0</v>
      </c>
      <c r="V154" s="58">
        <f t="shared" si="23"/>
        <v>0</v>
      </c>
    </row>
    <row r="155" spans="1:22">
      <c r="A155" s="6" t="s">
        <v>306</v>
      </c>
      <c r="B155">
        <v>0</v>
      </c>
      <c r="C155" s="16">
        <f t="shared" si="16"/>
        <v>0</v>
      </c>
      <c r="E155" s="6" t="s">
        <v>143</v>
      </c>
      <c r="F155" s="6" t="s">
        <v>144</v>
      </c>
      <c r="G155" s="8">
        <v>0</v>
      </c>
      <c r="H155" s="16">
        <f t="shared" si="17"/>
        <v>0</v>
      </c>
      <c r="N155" s="6" t="s">
        <v>306</v>
      </c>
      <c r="O155" s="58">
        <v>0</v>
      </c>
      <c r="P155" s="58">
        <f t="shared" si="18"/>
        <v>0</v>
      </c>
      <c r="Q155">
        <v>4</v>
      </c>
      <c r="R155" s="58">
        <f t="shared" si="19"/>
        <v>1</v>
      </c>
      <c r="S155" s="58">
        <f t="shared" si="20"/>
        <v>0</v>
      </c>
      <c r="T155" s="58">
        <f t="shared" si="21"/>
        <v>0</v>
      </c>
      <c r="U155" s="58">
        <f t="shared" si="22"/>
        <v>1</v>
      </c>
      <c r="V155" s="58">
        <f t="shared" si="23"/>
        <v>0</v>
      </c>
    </row>
    <row r="156" spans="1:22">
      <c r="A156" s="6" t="s">
        <v>307</v>
      </c>
      <c r="B156">
        <v>3</v>
      </c>
      <c r="C156" s="16">
        <f t="shared" si="16"/>
        <v>1</v>
      </c>
      <c r="E156" s="6" t="s">
        <v>143</v>
      </c>
      <c r="F156" s="6" t="s">
        <v>145</v>
      </c>
      <c r="G156" s="8">
        <v>0</v>
      </c>
      <c r="H156" s="16">
        <f t="shared" si="17"/>
        <v>0</v>
      </c>
      <c r="N156" s="6" t="s">
        <v>307</v>
      </c>
      <c r="O156" s="58">
        <v>3</v>
      </c>
      <c r="P156" s="58">
        <f t="shared" si="18"/>
        <v>1</v>
      </c>
      <c r="Q156">
        <v>7</v>
      </c>
      <c r="R156" s="58">
        <f t="shared" si="19"/>
        <v>1</v>
      </c>
      <c r="S156" s="58">
        <f t="shared" si="20"/>
        <v>0</v>
      </c>
      <c r="T156" s="58">
        <f t="shared" si="21"/>
        <v>0</v>
      </c>
      <c r="U156" s="58">
        <f t="shared" si="22"/>
        <v>0</v>
      </c>
      <c r="V156" s="58">
        <f t="shared" si="23"/>
        <v>1</v>
      </c>
    </row>
    <row r="157" spans="1:22">
      <c r="A157" s="6" t="s">
        <v>308</v>
      </c>
      <c r="B157">
        <v>0</v>
      </c>
      <c r="C157" s="16">
        <f t="shared" si="16"/>
        <v>0</v>
      </c>
      <c r="E157" s="6" t="s">
        <v>143</v>
      </c>
      <c r="F157" s="6" t="s">
        <v>146</v>
      </c>
      <c r="G157" s="8">
        <v>0</v>
      </c>
      <c r="H157" s="16">
        <f t="shared" si="17"/>
        <v>0</v>
      </c>
      <c r="N157" s="6" t="s">
        <v>308</v>
      </c>
      <c r="O157" s="58">
        <v>0</v>
      </c>
      <c r="P157" s="58">
        <f t="shared" si="18"/>
        <v>0</v>
      </c>
      <c r="Q157">
        <v>1</v>
      </c>
      <c r="R157" s="58">
        <f t="shared" si="19"/>
        <v>1</v>
      </c>
      <c r="S157" s="58">
        <f t="shared" si="20"/>
        <v>0</v>
      </c>
      <c r="T157" s="58">
        <f t="shared" si="21"/>
        <v>0</v>
      </c>
      <c r="U157" s="58">
        <f t="shared" si="22"/>
        <v>1</v>
      </c>
      <c r="V157" s="58">
        <f t="shared" si="23"/>
        <v>0</v>
      </c>
    </row>
    <row r="158" spans="1:22">
      <c r="A158" s="6" t="s">
        <v>309</v>
      </c>
      <c r="B158">
        <v>0</v>
      </c>
      <c r="C158" s="16">
        <f t="shared" si="16"/>
        <v>0</v>
      </c>
      <c r="E158" s="6" t="s">
        <v>143</v>
      </c>
      <c r="F158" s="6" t="s">
        <v>147</v>
      </c>
      <c r="G158" s="8">
        <v>0</v>
      </c>
      <c r="H158" s="16">
        <f t="shared" si="17"/>
        <v>0</v>
      </c>
      <c r="N158" s="6" t="s">
        <v>309</v>
      </c>
      <c r="O158" s="58">
        <v>0</v>
      </c>
      <c r="P158" s="58">
        <f t="shared" si="18"/>
        <v>0</v>
      </c>
      <c r="Q158">
        <v>8</v>
      </c>
      <c r="R158" s="58">
        <f t="shared" si="19"/>
        <v>1</v>
      </c>
      <c r="S158" s="58">
        <f t="shared" si="20"/>
        <v>0</v>
      </c>
      <c r="T158" s="58">
        <f t="shared" si="21"/>
        <v>0</v>
      </c>
      <c r="U158" s="58">
        <f t="shared" si="22"/>
        <v>1</v>
      </c>
      <c r="V158" s="58">
        <f t="shared" si="23"/>
        <v>0</v>
      </c>
    </row>
    <row r="159" spans="1:22">
      <c r="A159" s="6" t="s">
        <v>310</v>
      </c>
      <c r="B159">
        <v>0</v>
      </c>
      <c r="C159" s="16">
        <f t="shared" si="16"/>
        <v>0</v>
      </c>
      <c r="E159" s="6" t="s">
        <v>143</v>
      </c>
      <c r="F159" s="6" t="s">
        <v>148</v>
      </c>
      <c r="G159" s="8">
        <v>0</v>
      </c>
      <c r="H159" s="16">
        <f t="shared" si="17"/>
        <v>0</v>
      </c>
      <c r="N159" s="6" t="s">
        <v>310</v>
      </c>
      <c r="O159" s="58">
        <v>0</v>
      </c>
      <c r="P159" s="58">
        <f t="shared" si="18"/>
        <v>0</v>
      </c>
      <c r="Q159">
        <v>4</v>
      </c>
      <c r="R159" s="58">
        <f t="shared" si="19"/>
        <v>1</v>
      </c>
      <c r="S159" s="58">
        <f t="shared" si="20"/>
        <v>0</v>
      </c>
      <c r="T159" s="58">
        <f t="shared" si="21"/>
        <v>0</v>
      </c>
      <c r="U159" s="58">
        <f t="shared" si="22"/>
        <v>1</v>
      </c>
      <c r="V159" s="58">
        <f t="shared" si="23"/>
        <v>0</v>
      </c>
    </row>
    <row r="160" spans="1:22">
      <c r="A160" s="6" t="s">
        <v>311</v>
      </c>
      <c r="B160">
        <v>0</v>
      </c>
      <c r="C160" s="16">
        <f t="shared" si="16"/>
        <v>0</v>
      </c>
      <c r="E160" s="6" t="s">
        <v>149</v>
      </c>
      <c r="F160" s="6" t="s">
        <v>150</v>
      </c>
      <c r="G160" s="8">
        <v>0</v>
      </c>
      <c r="H160" s="16">
        <f t="shared" si="17"/>
        <v>0</v>
      </c>
      <c r="N160" s="6" t="s">
        <v>311</v>
      </c>
      <c r="O160" s="58">
        <v>0</v>
      </c>
      <c r="P160" s="58">
        <f t="shared" si="18"/>
        <v>0</v>
      </c>
      <c r="Q160">
        <v>0</v>
      </c>
      <c r="R160" s="58">
        <f t="shared" si="19"/>
        <v>0</v>
      </c>
      <c r="S160" s="58">
        <f t="shared" si="20"/>
        <v>1</v>
      </c>
      <c r="T160" s="58">
        <f t="shared" si="21"/>
        <v>0</v>
      </c>
      <c r="U160" s="58">
        <f t="shared" si="22"/>
        <v>0</v>
      </c>
      <c r="V160" s="58">
        <f t="shared" si="23"/>
        <v>0</v>
      </c>
    </row>
    <row r="161" spans="1:22">
      <c r="A161" s="6" t="s">
        <v>312</v>
      </c>
      <c r="B161">
        <v>0</v>
      </c>
      <c r="C161" s="16">
        <f t="shared" si="16"/>
        <v>0</v>
      </c>
      <c r="E161" s="6" t="s">
        <v>149</v>
      </c>
      <c r="F161" s="6" t="s">
        <v>136</v>
      </c>
      <c r="G161" s="8">
        <v>0</v>
      </c>
      <c r="H161" s="16">
        <f t="shared" si="17"/>
        <v>0</v>
      </c>
      <c r="N161" s="6" t="s">
        <v>312</v>
      </c>
      <c r="O161" s="58">
        <v>0</v>
      </c>
      <c r="P161" s="58">
        <f t="shared" si="18"/>
        <v>0</v>
      </c>
      <c r="Q161">
        <v>2</v>
      </c>
      <c r="R161" s="58">
        <f t="shared" si="19"/>
        <v>1</v>
      </c>
      <c r="S161" s="58">
        <f t="shared" si="20"/>
        <v>0</v>
      </c>
      <c r="T161" s="58">
        <f t="shared" si="21"/>
        <v>0</v>
      </c>
      <c r="U161" s="58">
        <f t="shared" si="22"/>
        <v>1</v>
      </c>
      <c r="V161" s="58">
        <f t="shared" si="23"/>
        <v>0</v>
      </c>
    </row>
    <row r="162" spans="1:22">
      <c r="A162" s="6" t="s">
        <v>313</v>
      </c>
      <c r="B162">
        <v>0</v>
      </c>
      <c r="C162" s="16">
        <f t="shared" si="16"/>
        <v>0</v>
      </c>
      <c r="E162" s="6" t="s">
        <v>151</v>
      </c>
      <c r="F162" s="6" t="s">
        <v>152</v>
      </c>
      <c r="G162" s="8">
        <v>0</v>
      </c>
      <c r="H162" s="16">
        <f t="shared" si="17"/>
        <v>0</v>
      </c>
      <c r="N162" s="6" t="s">
        <v>313</v>
      </c>
      <c r="O162" s="58">
        <v>0</v>
      </c>
      <c r="P162" s="58">
        <f t="shared" si="18"/>
        <v>0</v>
      </c>
      <c r="Q162">
        <v>0</v>
      </c>
      <c r="R162" s="58">
        <f t="shared" si="19"/>
        <v>0</v>
      </c>
      <c r="S162" s="58">
        <f t="shared" si="20"/>
        <v>1</v>
      </c>
      <c r="T162" s="58">
        <f t="shared" si="21"/>
        <v>0</v>
      </c>
      <c r="U162" s="58">
        <f t="shared" si="22"/>
        <v>0</v>
      </c>
      <c r="V162" s="58">
        <f t="shared" si="23"/>
        <v>0</v>
      </c>
    </row>
    <row r="163" spans="1:22">
      <c r="A163" s="6" t="s">
        <v>314</v>
      </c>
      <c r="B163">
        <v>0</v>
      </c>
      <c r="C163" s="16">
        <f t="shared" si="16"/>
        <v>0</v>
      </c>
      <c r="E163" s="6" t="s">
        <v>153</v>
      </c>
      <c r="F163" s="6" t="s">
        <v>154</v>
      </c>
      <c r="G163" s="8">
        <v>0</v>
      </c>
      <c r="H163" s="16">
        <f t="shared" si="17"/>
        <v>0</v>
      </c>
      <c r="N163" s="6" t="s">
        <v>314</v>
      </c>
      <c r="O163" s="58">
        <v>0</v>
      </c>
      <c r="P163" s="58">
        <f t="shared" si="18"/>
        <v>0</v>
      </c>
      <c r="Q163">
        <v>3</v>
      </c>
      <c r="R163" s="58">
        <f t="shared" si="19"/>
        <v>1</v>
      </c>
      <c r="S163" s="58">
        <f t="shared" si="20"/>
        <v>0</v>
      </c>
      <c r="T163" s="58">
        <f t="shared" si="21"/>
        <v>0</v>
      </c>
      <c r="U163" s="58">
        <f t="shared" si="22"/>
        <v>1</v>
      </c>
      <c r="V163" s="58">
        <f t="shared" si="23"/>
        <v>0</v>
      </c>
    </row>
    <row r="164" spans="1:22">
      <c r="A164" s="6" t="s">
        <v>315</v>
      </c>
      <c r="B164">
        <v>22</v>
      </c>
      <c r="C164" s="16">
        <f t="shared" si="16"/>
        <v>1</v>
      </c>
      <c r="E164" s="6" t="s">
        <v>155</v>
      </c>
      <c r="F164" s="6" t="s">
        <v>156</v>
      </c>
      <c r="G164" s="8">
        <v>0</v>
      </c>
      <c r="H164" s="16">
        <f t="shared" si="17"/>
        <v>0</v>
      </c>
      <c r="N164" s="6" t="s">
        <v>315</v>
      </c>
      <c r="O164" s="58">
        <v>22</v>
      </c>
      <c r="P164" s="58">
        <f t="shared" si="18"/>
        <v>1</v>
      </c>
      <c r="Q164">
        <v>39</v>
      </c>
      <c r="R164" s="58">
        <f t="shared" si="19"/>
        <v>1</v>
      </c>
      <c r="S164" s="58">
        <f t="shared" si="20"/>
        <v>0</v>
      </c>
      <c r="T164" s="58">
        <f t="shared" si="21"/>
        <v>0</v>
      </c>
      <c r="U164" s="58">
        <f t="shared" si="22"/>
        <v>0</v>
      </c>
      <c r="V164" s="58">
        <f t="shared" si="23"/>
        <v>1</v>
      </c>
    </row>
    <row r="165" spans="1:22">
      <c r="A165" s="6" t="s">
        <v>316</v>
      </c>
      <c r="B165">
        <v>43</v>
      </c>
      <c r="C165" s="16">
        <f t="shared" si="16"/>
        <v>1</v>
      </c>
      <c r="E165" s="6" t="s">
        <v>157</v>
      </c>
      <c r="F165" s="6" t="s">
        <v>158</v>
      </c>
      <c r="G165" s="8">
        <v>114</v>
      </c>
      <c r="H165" s="16">
        <f t="shared" si="17"/>
        <v>1</v>
      </c>
      <c r="N165" s="6" t="s">
        <v>316</v>
      </c>
      <c r="O165" s="58">
        <v>43</v>
      </c>
      <c r="P165" s="58">
        <f t="shared" si="18"/>
        <v>1</v>
      </c>
      <c r="Q165">
        <v>97</v>
      </c>
      <c r="R165" s="58">
        <f t="shared" si="19"/>
        <v>1</v>
      </c>
      <c r="S165" s="58">
        <f t="shared" si="20"/>
        <v>0</v>
      </c>
      <c r="T165" s="58">
        <f t="shared" si="21"/>
        <v>0</v>
      </c>
      <c r="U165" s="58">
        <f t="shared" si="22"/>
        <v>0</v>
      </c>
      <c r="V165" s="58">
        <f t="shared" si="23"/>
        <v>1</v>
      </c>
    </row>
    <row r="166" spans="1:22">
      <c r="A166" s="6" t="s">
        <v>317</v>
      </c>
      <c r="B166">
        <v>0</v>
      </c>
      <c r="C166" s="16">
        <f t="shared" si="16"/>
        <v>0</v>
      </c>
      <c r="E166" s="6" t="s">
        <v>157</v>
      </c>
      <c r="F166" s="6" t="s">
        <v>159</v>
      </c>
      <c r="G166" s="8">
        <v>0</v>
      </c>
      <c r="H166" s="16">
        <f t="shared" si="17"/>
        <v>0</v>
      </c>
      <c r="N166" s="6" t="s">
        <v>317</v>
      </c>
      <c r="O166" s="58">
        <v>0</v>
      </c>
      <c r="P166" s="58">
        <f t="shared" si="18"/>
        <v>0</v>
      </c>
      <c r="Q166">
        <v>0</v>
      </c>
      <c r="R166" s="58">
        <f t="shared" si="19"/>
        <v>0</v>
      </c>
      <c r="S166" s="58">
        <f t="shared" si="20"/>
        <v>1</v>
      </c>
      <c r="T166" s="58">
        <f t="shared" si="21"/>
        <v>0</v>
      </c>
      <c r="U166" s="58">
        <f t="shared" si="22"/>
        <v>0</v>
      </c>
      <c r="V166" s="58">
        <f t="shared" si="23"/>
        <v>0</v>
      </c>
    </row>
    <row r="167" spans="1:22">
      <c r="A167" s="6" t="s">
        <v>318</v>
      </c>
      <c r="B167">
        <v>14</v>
      </c>
      <c r="C167" s="16">
        <f t="shared" si="16"/>
        <v>1</v>
      </c>
      <c r="E167" s="6" t="s">
        <v>157</v>
      </c>
      <c r="F167" s="6" t="s">
        <v>160</v>
      </c>
      <c r="G167" s="8">
        <v>12</v>
      </c>
      <c r="H167" s="16">
        <f t="shared" si="17"/>
        <v>1</v>
      </c>
      <c r="N167" s="6" t="s">
        <v>318</v>
      </c>
      <c r="O167" s="58">
        <v>14</v>
      </c>
      <c r="P167" s="58">
        <f t="shared" si="18"/>
        <v>1</v>
      </c>
      <c r="Q167">
        <v>1</v>
      </c>
      <c r="R167" s="58">
        <f t="shared" si="19"/>
        <v>1</v>
      </c>
      <c r="S167" s="58">
        <f t="shared" si="20"/>
        <v>0</v>
      </c>
      <c r="T167" s="58">
        <f t="shared" si="21"/>
        <v>0</v>
      </c>
      <c r="U167" s="58">
        <f t="shared" si="22"/>
        <v>0</v>
      </c>
      <c r="V167" s="58">
        <f t="shared" si="23"/>
        <v>1</v>
      </c>
    </row>
    <row r="168" spans="1:22">
      <c r="A168" s="6" t="s">
        <v>319</v>
      </c>
      <c r="B168">
        <v>82</v>
      </c>
      <c r="C168" s="16">
        <f t="shared" si="16"/>
        <v>1</v>
      </c>
      <c r="E168" s="6" t="s">
        <v>157</v>
      </c>
      <c r="F168" s="6" t="s">
        <v>161</v>
      </c>
      <c r="G168" s="8">
        <v>0</v>
      </c>
      <c r="H168" s="16">
        <f t="shared" si="17"/>
        <v>0</v>
      </c>
      <c r="N168" s="6" t="s">
        <v>319</v>
      </c>
      <c r="O168" s="58">
        <v>82</v>
      </c>
      <c r="P168" s="58">
        <f t="shared" si="18"/>
        <v>1</v>
      </c>
      <c r="Q168">
        <v>105</v>
      </c>
      <c r="R168" s="58">
        <f t="shared" si="19"/>
        <v>1</v>
      </c>
      <c r="S168" s="58">
        <f t="shared" si="20"/>
        <v>0</v>
      </c>
      <c r="T168" s="58">
        <f t="shared" si="21"/>
        <v>0</v>
      </c>
      <c r="U168" s="58">
        <f t="shared" si="22"/>
        <v>0</v>
      </c>
      <c r="V168" s="58">
        <f t="shared" si="23"/>
        <v>1</v>
      </c>
    </row>
    <row r="169" spans="1:22">
      <c r="A169" s="6" t="s">
        <v>320</v>
      </c>
      <c r="B169">
        <v>0</v>
      </c>
      <c r="C169" s="16">
        <f t="shared" si="16"/>
        <v>0</v>
      </c>
      <c r="E169" s="6" t="s">
        <v>157</v>
      </c>
      <c r="F169" s="6" t="s">
        <v>162</v>
      </c>
      <c r="G169" s="8">
        <v>28</v>
      </c>
      <c r="H169" s="16">
        <f t="shared" si="17"/>
        <v>1</v>
      </c>
      <c r="N169" s="6" t="s">
        <v>320</v>
      </c>
      <c r="O169" s="58">
        <v>0</v>
      </c>
      <c r="P169" s="58">
        <f t="shared" si="18"/>
        <v>0</v>
      </c>
      <c r="Q169">
        <v>0</v>
      </c>
      <c r="R169" s="58">
        <f t="shared" si="19"/>
        <v>0</v>
      </c>
      <c r="S169" s="58">
        <f t="shared" si="20"/>
        <v>1</v>
      </c>
      <c r="T169" s="58">
        <f t="shared" si="21"/>
        <v>0</v>
      </c>
      <c r="U169" s="58">
        <f t="shared" si="22"/>
        <v>0</v>
      </c>
      <c r="V169" s="58">
        <f t="shared" si="23"/>
        <v>0</v>
      </c>
    </row>
    <row r="170" spans="1:22">
      <c r="A170" s="6" t="s">
        <v>322</v>
      </c>
      <c r="B170">
        <v>0</v>
      </c>
      <c r="C170" s="16">
        <f t="shared" si="16"/>
        <v>0</v>
      </c>
      <c r="E170" s="6" t="s">
        <v>163</v>
      </c>
      <c r="F170" s="6" t="s">
        <v>164</v>
      </c>
      <c r="G170" s="8">
        <v>0</v>
      </c>
      <c r="H170" s="16">
        <f t="shared" si="17"/>
        <v>0</v>
      </c>
      <c r="N170" s="6" t="s">
        <v>322</v>
      </c>
      <c r="O170" s="58">
        <v>0</v>
      </c>
      <c r="P170" s="58">
        <f t="shared" si="18"/>
        <v>0</v>
      </c>
      <c r="Q170">
        <v>0</v>
      </c>
      <c r="R170" s="58">
        <f t="shared" si="19"/>
        <v>0</v>
      </c>
      <c r="S170" s="58">
        <f t="shared" si="20"/>
        <v>1</v>
      </c>
      <c r="T170" s="58">
        <f t="shared" si="21"/>
        <v>0</v>
      </c>
      <c r="U170" s="58">
        <f t="shared" si="22"/>
        <v>0</v>
      </c>
      <c r="V170" s="58">
        <f t="shared" si="23"/>
        <v>0</v>
      </c>
    </row>
    <row r="171" spans="1:22">
      <c r="A171" s="6" t="s">
        <v>323</v>
      </c>
      <c r="B171">
        <v>0</v>
      </c>
      <c r="C171" s="16">
        <f t="shared" si="16"/>
        <v>0</v>
      </c>
      <c r="E171" s="6" t="s">
        <v>163</v>
      </c>
      <c r="F171" s="6" t="s">
        <v>165</v>
      </c>
      <c r="G171" s="8">
        <v>0</v>
      </c>
      <c r="H171" s="16">
        <f t="shared" si="17"/>
        <v>0</v>
      </c>
      <c r="N171" s="6" t="s">
        <v>323</v>
      </c>
      <c r="O171" s="58">
        <v>0</v>
      </c>
      <c r="P171" s="58">
        <f t="shared" si="18"/>
        <v>0</v>
      </c>
      <c r="Q171">
        <v>3</v>
      </c>
      <c r="R171" s="58">
        <f t="shared" si="19"/>
        <v>1</v>
      </c>
      <c r="S171" s="58">
        <f t="shared" si="20"/>
        <v>0</v>
      </c>
      <c r="T171" s="58">
        <f t="shared" si="21"/>
        <v>0</v>
      </c>
      <c r="U171" s="58">
        <f t="shared" si="22"/>
        <v>1</v>
      </c>
      <c r="V171" s="58">
        <f t="shared" si="23"/>
        <v>0</v>
      </c>
    </row>
    <row r="172" spans="1:22">
      <c r="A172" s="6" t="s">
        <v>325</v>
      </c>
      <c r="B172">
        <v>0</v>
      </c>
      <c r="C172" s="16">
        <f t="shared" si="16"/>
        <v>0</v>
      </c>
      <c r="E172" s="6" t="s">
        <v>166</v>
      </c>
      <c r="F172" s="6" t="s">
        <v>167</v>
      </c>
      <c r="G172" s="8">
        <v>0</v>
      </c>
      <c r="H172" s="16">
        <f t="shared" si="17"/>
        <v>0</v>
      </c>
      <c r="N172" s="6" t="s">
        <v>325</v>
      </c>
      <c r="O172" s="58">
        <v>0</v>
      </c>
      <c r="P172" s="58">
        <f t="shared" si="18"/>
        <v>0</v>
      </c>
      <c r="Q172">
        <v>2</v>
      </c>
      <c r="R172" s="58">
        <f t="shared" si="19"/>
        <v>1</v>
      </c>
      <c r="S172" s="58">
        <f t="shared" si="20"/>
        <v>0</v>
      </c>
      <c r="T172" s="58">
        <f t="shared" si="21"/>
        <v>0</v>
      </c>
      <c r="U172" s="58">
        <f t="shared" si="22"/>
        <v>1</v>
      </c>
      <c r="V172" s="58">
        <f t="shared" si="23"/>
        <v>0</v>
      </c>
    </row>
    <row r="173" spans="1:22">
      <c r="A173" s="6" t="s">
        <v>328</v>
      </c>
      <c r="B173">
        <v>0</v>
      </c>
      <c r="C173" s="16">
        <f t="shared" si="16"/>
        <v>0</v>
      </c>
      <c r="E173" s="6" t="s">
        <v>166</v>
      </c>
      <c r="F173" s="6" t="s">
        <v>168</v>
      </c>
      <c r="G173" s="8">
        <v>0</v>
      </c>
      <c r="H173" s="16">
        <f t="shared" si="17"/>
        <v>0</v>
      </c>
      <c r="N173" s="6" t="s">
        <v>328</v>
      </c>
      <c r="O173" s="58">
        <v>0</v>
      </c>
      <c r="P173" s="58">
        <f t="shared" si="18"/>
        <v>0</v>
      </c>
      <c r="Q173">
        <v>2</v>
      </c>
      <c r="R173" s="58">
        <f t="shared" si="19"/>
        <v>1</v>
      </c>
      <c r="S173" s="58">
        <f t="shared" si="20"/>
        <v>0</v>
      </c>
      <c r="T173" s="58">
        <f t="shared" si="21"/>
        <v>0</v>
      </c>
      <c r="U173" s="58">
        <f t="shared" si="22"/>
        <v>1</v>
      </c>
      <c r="V173" s="58">
        <f t="shared" si="23"/>
        <v>0</v>
      </c>
    </row>
    <row r="174" spans="1:22">
      <c r="A174" s="6" t="s">
        <v>329</v>
      </c>
      <c r="B174">
        <v>0</v>
      </c>
      <c r="C174" s="16">
        <f t="shared" si="16"/>
        <v>0</v>
      </c>
      <c r="E174" s="6" t="s">
        <v>169</v>
      </c>
      <c r="F174" s="6" t="s">
        <v>170</v>
      </c>
      <c r="G174" s="8">
        <v>0</v>
      </c>
      <c r="H174" s="16">
        <f t="shared" si="17"/>
        <v>0</v>
      </c>
      <c r="N174" s="6" t="s">
        <v>329</v>
      </c>
      <c r="O174" s="58">
        <v>0</v>
      </c>
      <c r="P174" s="58">
        <f t="shared" si="18"/>
        <v>0</v>
      </c>
      <c r="Q174">
        <v>4</v>
      </c>
      <c r="R174" s="58">
        <f t="shared" si="19"/>
        <v>1</v>
      </c>
      <c r="S174" s="58">
        <f t="shared" si="20"/>
        <v>0</v>
      </c>
      <c r="T174" s="58">
        <f t="shared" si="21"/>
        <v>0</v>
      </c>
      <c r="U174" s="58">
        <f t="shared" si="22"/>
        <v>1</v>
      </c>
      <c r="V174" s="58">
        <f t="shared" si="23"/>
        <v>0</v>
      </c>
    </row>
    <row r="175" spans="1:22">
      <c r="A175" s="6" t="s">
        <v>331</v>
      </c>
      <c r="B175">
        <v>0</v>
      </c>
      <c r="C175" s="16">
        <f t="shared" si="16"/>
        <v>0</v>
      </c>
      <c r="E175" s="6" t="s">
        <v>169</v>
      </c>
      <c r="F175" s="6" t="s">
        <v>171</v>
      </c>
      <c r="G175" s="8">
        <v>0</v>
      </c>
      <c r="H175" s="16">
        <f t="shared" si="17"/>
        <v>0</v>
      </c>
      <c r="N175" s="6" t="s">
        <v>331</v>
      </c>
      <c r="O175" s="58">
        <v>0</v>
      </c>
      <c r="P175" s="58">
        <f t="shared" si="18"/>
        <v>0</v>
      </c>
      <c r="Q175">
        <v>0</v>
      </c>
      <c r="R175" s="58">
        <f t="shared" si="19"/>
        <v>0</v>
      </c>
      <c r="S175" s="58">
        <f t="shared" si="20"/>
        <v>1</v>
      </c>
      <c r="T175" s="58">
        <f t="shared" si="21"/>
        <v>0</v>
      </c>
      <c r="U175" s="58">
        <f t="shared" si="22"/>
        <v>0</v>
      </c>
      <c r="V175" s="58">
        <f t="shared" si="23"/>
        <v>0</v>
      </c>
    </row>
    <row r="176" spans="1:22">
      <c r="A176" s="6" t="s">
        <v>334</v>
      </c>
      <c r="B176">
        <v>15</v>
      </c>
      <c r="C176" s="16">
        <f t="shared" si="16"/>
        <v>1</v>
      </c>
      <c r="E176" s="6" t="s">
        <v>172</v>
      </c>
      <c r="F176" s="6" t="s">
        <v>173</v>
      </c>
      <c r="G176" s="8">
        <v>0</v>
      </c>
      <c r="H176" s="16">
        <f t="shared" si="17"/>
        <v>0</v>
      </c>
      <c r="N176" s="6" t="s">
        <v>334</v>
      </c>
      <c r="O176" s="58">
        <v>15</v>
      </c>
      <c r="P176" s="58">
        <f t="shared" si="18"/>
        <v>1</v>
      </c>
      <c r="Q176">
        <v>2</v>
      </c>
      <c r="R176" s="58">
        <f t="shared" si="19"/>
        <v>1</v>
      </c>
      <c r="S176" s="58">
        <f t="shared" si="20"/>
        <v>0</v>
      </c>
      <c r="T176" s="58">
        <f t="shared" si="21"/>
        <v>0</v>
      </c>
      <c r="U176" s="58">
        <f t="shared" si="22"/>
        <v>0</v>
      </c>
      <c r="V176" s="58">
        <f t="shared" si="23"/>
        <v>1</v>
      </c>
    </row>
    <row r="177" spans="1:22">
      <c r="A177" s="6" t="s">
        <v>335</v>
      </c>
      <c r="B177">
        <v>6</v>
      </c>
      <c r="C177" s="16">
        <f t="shared" si="16"/>
        <v>1</v>
      </c>
      <c r="E177" s="6" t="s">
        <v>174</v>
      </c>
      <c r="F177" s="6" t="s">
        <v>175</v>
      </c>
      <c r="G177" s="8">
        <v>9</v>
      </c>
      <c r="H177" s="16">
        <f t="shared" si="17"/>
        <v>1</v>
      </c>
      <c r="N177" s="6" t="s">
        <v>335</v>
      </c>
      <c r="O177" s="58">
        <v>6</v>
      </c>
      <c r="P177" s="58">
        <f t="shared" si="18"/>
        <v>1</v>
      </c>
      <c r="Q177">
        <v>0</v>
      </c>
      <c r="R177" s="58">
        <f t="shared" si="19"/>
        <v>0</v>
      </c>
      <c r="S177" s="58">
        <f t="shared" si="20"/>
        <v>0</v>
      </c>
      <c r="T177" s="58">
        <f t="shared" si="21"/>
        <v>1</v>
      </c>
      <c r="U177" s="58">
        <f t="shared" si="22"/>
        <v>0</v>
      </c>
      <c r="V177" s="58">
        <f t="shared" si="23"/>
        <v>0</v>
      </c>
    </row>
    <row r="178" spans="1:22">
      <c r="A178" s="6" t="s">
        <v>336</v>
      </c>
      <c r="B178">
        <v>0</v>
      </c>
      <c r="C178" s="16">
        <f t="shared" si="16"/>
        <v>0</v>
      </c>
      <c r="E178" s="6" t="s">
        <v>174</v>
      </c>
      <c r="F178" s="6" t="s">
        <v>176</v>
      </c>
      <c r="G178" s="8">
        <v>0</v>
      </c>
      <c r="H178" s="16">
        <f t="shared" si="17"/>
        <v>0</v>
      </c>
      <c r="N178" s="6" t="s">
        <v>336</v>
      </c>
      <c r="O178" s="58">
        <v>0</v>
      </c>
      <c r="P178" s="58">
        <f t="shared" si="18"/>
        <v>0</v>
      </c>
      <c r="Q178">
        <v>4</v>
      </c>
      <c r="R178" s="58">
        <f t="shared" si="19"/>
        <v>1</v>
      </c>
      <c r="S178" s="58">
        <f t="shared" si="20"/>
        <v>0</v>
      </c>
      <c r="T178" s="58">
        <f t="shared" si="21"/>
        <v>0</v>
      </c>
      <c r="U178" s="58">
        <f t="shared" si="22"/>
        <v>1</v>
      </c>
      <c r="V178" s="58">
        <f t="shared" si="23"/>
        <v>0</v>
      </c>
    </row>
    <row r="179" spans="1:22">
      <c r="A179" s="6" t="s">
        <v>338</v>
      </c>
      <c r="B179">
        <v>0</v>
      </c>
      <c r="C179" s="16">
        <f t="shared" si="16"/>
        <v>0</v>
      </c>
      <c r="E179" s="6" t="s">
        <v>177</v>
      </c>
      <c r="F179" s="6" t="s">
        <v>178</v>
      </c>
      <c r="G179" s="8">
        <v>0</v>
      </c>
      <c r="H179" s="16">
        <f t="shared" si="17"/>
        <v>0</v>
      </c>
      <c r="N179" s="6" t="s">
        <v>338</v>
      </c>
      <c r="O179" s="58">
        <v>0</v>
      </c>
      <c r="P179" s="58">
        <f t="shared" si="18"/>
        <v>0</v>
      </c>
      <c r="Q179">
        <v>21</v>
      </c>
      <c r="R179" s="58">
        <f t="shared" si="19"/>
        <v>1</v>
      </c>
      <c r="S179" s="58">
        <f t="shared" si="20"/>
        <v>0</v>
      </c>
      <c r="T179" s="58">
        <f t="shared" si="21"/>
        <v>0</v>
      </c>
      <c r="U179" s="58">
        <f t="shared" si="22"/>
        <v>1</v>
      </c>
      <c r="V179" s="58">
        <f t="shared" si="23"/>
        <v>0</v>
      </c>
    </row>
    <row r="180" spans="1:22">
      <c r="A180" s="6" t="s">
        <v>341</v>
      </c>
      <c r="B180">
        <v>0</v>
      </c>
      <c r="C180" s="16">
        <f t="shared" si="16"/>
        <v>0</v>
      </c>
      <c r="E180" s="6" t="s">
        <v>179</v>
      </c>
      <c r="F180" s="6" t="s">
        <v>178</v>
      </c>
      <c r="G180" s="8">
        <v>0</v>
      </c>
      <c r="H180" s="16">
        <f t="shared" si="17"/>
        <v>0</v>
      </c>
      <c r="N180" s="6" t="s">
        <v>341</v>
      </c>
      <c r="O180" s="58">
        <v>0</v>
      </c>
      <c r="P180" s="58">
        <f t="shared" si="18"/>
        <v>0</v>
      </c>
      <c r="Q180">
        <v>0</v>
      </c>
      <c r="R180" s="58">
        <f t="shared" si="19"/>
        <v>0</v>
      </c>
      <c r="S180" s="58">
        <f t="shared" si="20"/>
        <v>1</v>
      </c>
      <c r="T180" s="58">
        <f t="shared" si="21"/>
        <v>0</v>
      </c>
      <c r="U180" s="58">
        <f t="shared" si="22"/>
        <v>0</v>
      </c>
      <c r="V180" s="58">
        <f t="shared" si="23"/>
        <v>0</v>
      </c>
    </row>
    <row r="181" spans="1:22">
      <c r="A181" s="6" t="s">
        <v>343</v>
      </c>
      <c r="B181">
        <v>10</v>
      </c>
      <c r="C181" s="16">
        <f t="shared" si="16"/>
        <v>1</v>
      </c>
      <c r="E181" s="6" t="s">
        <v>180</v>
      </c>
      <c r="F181" s="6" t="s">
        <v>178</v>
      </c>
      <c r="G181" s="8">
        <v>0</v>
      </c>
      <c r="H181" s="16">
        <f t="shared" si="17"/>
        <v>0</v>
      </c>
      <c r="N181" s="6" t="s">
        <v>343</v>
      </c>
      <c r="O181" s="58">
        <v>10</v>
      </c>
      <c r="P181" s="58">
        <f t="shared" si="18"/>
        <v>1</v>
      </c>
      <c r="Q181">
        <v>64</v>
      </c>
      <c r="R181" s="58">
        <f t="shared" si="19"/>
        <v>1</v>
      </c>
      <c r="S181" s="58">
        <f t="shared" si="20"/>
        <v>0</v>
      </c>
      <c r="T181" s="58">
        <f t="shared" si="21"/>
        <v>0</v>
      </c>
      <c r="U181" s="58">
        <f t="shared" si="22"/>
        <v>0</v>
      </c>
      <c r="V181" s="58">
        <f t="shared" si="23"/>
        <v>1</v>
      </c>
    </row>
    <row r="182" spans="1:22">
      <c r="A182" s="6" t="s">
        <v>348</v>
      </c>
      <c r="B182">
        <v>0</v>
      </c>
      <c r="C182" s="16">
        <f t="shared" si="16"/>
        <v>0</v>
      </c>
      <c r="E182" s="6" t="s">
        <v>181</v>
      </c>
      <c r="F182" s="6" t="s">
        <v>178</v>
      </c>
      <c r="G182" s="8">
        <v>0</v>
      </c>
      <c r="H182" s="16">
        <f t="shared" si="17"/>
        <v>0</v>
      </c>
      <c r="N182" s="6" t="s">
        <v>348</v>
      </c>
      <c r="O182" s="58">
        <v>0</v>
      </c>
      <c r="P182" s="58">
        <f t="shared" si="18"/>
        <v>0</v>
      </c>
      <c r="Q182">
        <v>0</v>
      </c>
      <c r="R182" s="58">
        <f t="shared" si="19"/>
        <v>0</v>
      </c>
      <c r="S182" s="58">
        <f t="shared" si="20"/>
        <v>1</v>
      </c>
      <c r="T182" s="58">
        <f t="shared" si="21"/>
        <v>0</v>
      </c>
      <c r="U182" s="58">
        <f t="shared" si="22"/>
        <v>0</v>
      </c>
      <c r="V182" s="58">
        <f t="shared" si="23"/>
        <v>0</v>
      </c>
    </row>
    <row r="183" spans="1:22">
      <c r="A183" s="6" t="s">
        <v>350</v>
      </c>
      <c r="B183">
        <v>0</v>
      </c>
      <c r="C183" s="16">
        <f t="shared" si="16"/>
        <v>0</v>
      </c>
      <c r="E183" s="6" t="s">
        <v>182</v>
      </c>
      <c r="F183" s="6" t="s">
        <v>178</v>
      </c>
      <c r="G183" s="8">
        <v>0</v>
      </c>
      <c r="H183" s="16">
        <f t="shared" si="17"/>
        <v>0</v>
      </c>
      <c r="N183" s="6" t="s">
        <v>350</v>
      </c>
      <c r="O183" s="58">
        <v>0</v>
      </c>
      <c r="P183" s="58">
        <f t="shared" si="18"/>
        <v>0</v>
      </c>
      <c r="Q183">
        <v>15</v>
      </c>
      <c r="R183" s="58">
        <f t="shared" si="19"/>
        <v>1</v>
      </c>
      <c r="S183" s="58">
        <f t="shared" si="20"/>
        <v>0</v>
      </c>
      <c r="T183" s="58">
        <f t="shared" si="21"/>
        <v>0</v>
      </c>
      <c r="U183" s="58">
        <f t="shared" si="22"/>
        <v>1</v>
      </c>
      <c r="V183" s="58">
        <f t="shared" si="23"/>
        <v>0</v>
      </c>
    </row>
    <row r="184" spans="1:22">
      <c r="A184" s="6" t="s">
        <v>355</v>
      </c>
      <c r="B184">
        <v>0</v>
      </c>
      <c r="C184" s="16">
        <f t="shared" si="16"/>
        <v>0</v>
      </c>
      <c r="E184" s="6" t="s">
        <v>183</v>
      </c>
      <c r="F184" s="6" t="s">
        <v>178</v>
      </c>
      <c r="G184" s="8">
        <v>0</v>
      </c>
      <c r="H184" s="16">
        <f t="shared" si="17"/>
        <v>0</v>
      </c>
      <c r="N184" s="6" t="s">
        <v>355</v>
      </c>
      <c r="O184" s="58">
        <v>0</v>
      </c>
      <c r="P184" s="58">
        <f t="shared" si="18"/>
        <v>0</v>
      </c>
      <c r="Q184">
        <v>15</v>
      </c>
      <c r="R184" s="58">
        <f t="shared" si="19"/>
        <v>1</v>
      </c>
      <c r="S184" s="58">
        <f t="shared" si="20"/>
        <v>0</v>
      </c>
      <c r="T184" s="58">
        <f t="shared" si="21"/>
        <v>0</v>
      </c>
      <c r="U184" s="58">
        <f t="shared" si="22"/>
        <v>1</v>
      </c>
      <c r="V184" s="58">
        <f t="shared" si="23"/>
        <v>0</v>
      </c>
    </row>
    <row r="185" spans="1:22">
      <c r="A185" s="6" t="s">
        <v>358</v>
      </c>
      <c r="B185">
        <v>0</v>
      </c>
      <c r="C185" s="16">
        <f t="shared" si="16"/>
        <v>0</v>
      </c>
      <c r="E185" s="6" t="s">
        <v>184</v>
      </c>
      <c r="F185" s="6" t="s">
        <v>178</v>
      </c>
      <c r="G185" s="8">
        <v>0</v>
      </c>
      <c r="H185" s="16">
        <f t="shared" si="17"/>
        <v>0</v>
      </c>
      <c r="N185" s="6" t="s">
        <v>358</v>
      </c>
      <c r="O185" s="58">
        <v>0</v>
      </c>
      <c r="P185" s="58">
        <f t="shared" si="18"/>
        <v>0</v>
      </c>
      <c r="Q185">
        <v>2</v>
      </c>
      <c r="R185" s="58">
        <f t="shared" si="19"/>
        <v>1</v>
      </c>
      <c r="S185" s="58">
        <f t="shared" si="20"/>
        <v>0</v>
      </c>
      <c r="T185" s="58">
        <f t="shared" si="21"/>
        <v>0</v>
      </c>
      <c r="U185" s="58">
        <f t="shared" si="22"/>
        <v>1</v>
      </c>
      <c r="V185" s="58">
        <f t="shared" si="23"/>
        <v>0</v>
      </c>
    </row>
    <row r="186" spans="1:22">
      <c r="A186" s="6" t="s">
        <v>360</v>
      </c>
      <c r="B186">
        <v>0</v>
      </c>
      <c r="C186" s="16">
        <f t="shared" si="16"/>
        <v>0</v>
      </c>
      <c r="E186" s="6" t="s">
        <v>185</v>
      </c>
      <c r="F186" s="6" t="s">
        <v>186</v>
      </c>
      <c r="G186" s="8">
        <v>0</v>
      </c>
      <c r="H186" s="16">
        <f t="shared" si="17"/>
        <v>0</v>
      </c>
      <c r="N186" s="6" t="s">
        <v>360</v>
      </c>
      <c r="O186" s="58">
        <v>0</v>
      </c>
      <c r="P186" s="58">
        <f t="shared" si="18"/>
        <v>0</v>
      </c>
      <c r="Q186">
        <v>0</v>
      </c>
      <c r="R186" s="58">
        <f t="shared" si="19"/>
        <v>0</v>
      </c>
      <c r="S186" s="58">
        <f t="shared" si="20"/>
        <v>1</v>
      </c>
      <c r="T186" s="58">
        <f t="shared" si="21"/>
        <v>0</v>
      </c>
      <c r="U186" s="58">
        <f t="shared" si="22"/>
        <v>0</v>
      </c>
      <c r="V186" s="58">
        <f t="shared" si="23"/>
        <v>0</v>
      </c>
    </row>
    <row r="187" spans="1:22">
      <c r="A187" s="6" t="s">
        <v>364</v>
      </c>
      <c r="B187">
        <v>0</v>
      </c>
      <c r="C187" s="16">
        <f t="shared" si="16"/>
        <v>0</v>
      </c>
      <c r="E187" s="6" t="s">
        <v>187</v>
      </c>
      <c r="F187" s="6" t="s">
        <v>188</v>
      </c>
      <c r="G187" s="8">
        <v>0</v>
      </c>
      <c r="H187" s="16">
        <f t="shared" si="17"/>
        <v>0</v>
      </c>
      <c r="N187" s="6" t="s">
        <v>364</v>
      </c>
      <c r="O187" s="58">
        <v>0</v>
      </c>
      <c r="P187" s="58">
        <f t="shared" si="18"/>
        <v>0</v>
      </c>
      <c r="Q187">
        <v>0</v>
      </c>
      <c r="R187" s="58">
        <f t="shared" si="19"/>
        <v>0</v>
      </c>
      <c r="S187" s="58">
        <f t="shared" si="20"/>
        <v>1</v>
      </c>
      <c r="T187" s="58">
        <f t="shared" si="21"/>
        <v>0</v>
      </c>
      <c r="U187" s="58">
        <f t="shared" si="22"/>
        <v>0</v>
      </c>
      <c r="V187" s="58">
        <f t="shared" si="23"/>
        <v>0</v>
      </c>
    </row>
    <row r="188" spans="1:22">
      <c r="A188" s="6" t="s">
        <v>366</v>
      </c>
      <c r="B188">
        <v>1</v>
      </c>
      <c r="C188" s="16">
        <f t="shared" si="16"/>
        <v>1</v>
      </c>
      <c r="E188" s="6" t="s">
        <v>187</v>
      </c>
      <c r="F188" s="6" t="s">
        <v>189</v>
      </c>
      <c r="G188" s="8">
        <v>0</v>
      </c>
      <c r="H188" s="16">
        <f t="shared" si="17"/>
        <v>0</v>
      </c>
      <c r="N188" s="6" t="s">
        <v>366</v>
      </c>
      <c r="O188" s="58">
        <v>1</v>
      </c>
      <c r="P188" s="58">
        <f t="shared" si="18"/>
        <v>1</v>
      </c>
      <c r="Q188">
        <v>2</v>
      </c>
      <c r="R188" s="58">
        <f t="shared" si="19"/>
        <v>1</v>
      </c>
      <c r="S188" s="58">
        <f t="shared" si="20"/>
        <v>0</v>
      </c>
      <c r="T188" s="58">
        <f t="shared" si="21"/>
        <v>0</v>
      </c>
      <c r="U188" s="58">
        <f t="shared" si="22"/>
        <v>0</v>
      </c>
      <c r="V188" s="58">
        <f t="shared" si="23"/>
        <v>1</v>
      </c>
    </row>
    <row r="189" spans="1:22">
      <c r="A189" s="6" t="s">
        <v>373</v>
      </c>
      <c r="B189">
        <v>0</v>
      </c>
      <c r="C189" s="16">
        <f t="shared" si="16"/>
        <v>0</v>
      </c>
      <c r="E189" s="6" t="s">
        <v>190</v>
      </c>
      <c r="F189" s="6" t="s">
        <v>191</v>
      </c>
      <c r="G189" s="8">
        <v>24</v>
      </c>
      <c r="H189" s="16">
        <f t="shared" si="17"/>
        <v>1</v>
      </c>
      <c r="N189" s="6" t="s">
        <v>373</v>
      </c>
      <c r="O189" s="58">
        <v>0</v>
      </c>
      <c r="P189" s="58">
        <f t="shared" si="18"/>
        <v>0</v>
      </c>
      <c r="Q189">
        <v>10</v>
      </c>
      <c r="R189" s="58">
        <f t="shared" si="19"/>
        <v>1</v>
      </c>
      <c r="S189" s="58">
        <f t="shared" si="20"/>
        <v>0</v>
      </c>
      <c r="T189" s="58">
        <f t="shared" si="21"/>
        <v>0</v>
      </c>
      <c r="U189" s="58">
        <f t="shared" si="22"/>
        <v>1</v>
      </c>
      <c r="V189" s="58">
        <f t="shared" si="23"/>
        <v>0</v>
      </c>
    </row>
    <row r="190" spans="1:22">
      <c r="A190" s="6" t="s">
        <v>374</v>
      </c>
      <c r="B190">
        <v>0</v>
      </c>
      <c r="C190" s="16">
        <f t="shared" si="16"/>
        <v>0</v>
      </c>
      <c r="E190" s="6" t="s">
        <v>190</v>
      </c>
      <c r="F190" s="6" t="s">
        <v>192</v>
      </c>
      <c r="G190" s="8">
        <v>0</v>
      </c>
      <c r="H190" s="16">
        <f t="shared" si="17"/>
        <v>0</v>
      </c>
      <c r="N190" s="6" t="s">
        <v>374</v>
      </c>
      <c r="O190" s="58">
        <v>0</v>
      </c>
      <c r="P190" s="58">
        <f t="shared" si="18"/>
        <v>0</v>
      </c>
      <c r="Q190">
        <v>0</v>
      </c>
      <c r="R190" s="58">
        <f t="shared" si="19"/>
        <v>0</v>
      </c>
      <c r="S190" s="58">
        <f t="shared" si="20"/>
        <v>1</v>
      </c>
      <c r="T190" s="58">
        <f t="shared" si="21"/>
        <v>0</v>
      </c>
      <c r="U190" s="58">
        <f t="shared" si="22"/>
        <v>0</v>
      </c>
      <c r="V190" s="58">
        <f t="shared" si="23"/>
        <v>0</v>
      </c>
    </row>
    <row r="191" spans="1:22">
      <c r="A191" s="6" t="s">
        <v>376</v>
      </c>
      <c r="B191">
        <v>12</v>
      </c>
      <c r="C191" s="16">
        <f t="shared" si="16"/>
        <v>1</v>
      </c>
      <c r="E191" s="6" t="s">
        <v>190</v>
      </c>
      <c r="F191" s="6" t="s">
        <v>193</v>
      </c>
      <c r="G191" s="8">
        <v>0</v>
      </c>
      <c r="H191" s="16">
        <f t="shared" si="17"/>
        <v>0</v>
      </c>
      <c r="N191" s="6" t="s">
        <v>376</v>
      </c>
      <c r="O191" s="58">
        <v>12</v>
      </c>
      <c r="P191" s="58">
        <f t="shared" si="18"/>
        <v>1</v>
      </c>
      <c r="Q191">
        <v>0</v>
      </c>
      <c r="R191" s="58">
        <f t="shared" si="19"/>
        <v>0</v>
      </c>
      <c r="S191" s="58">
        <f t="shared" si="20"/>
        <v>0</v>
      </c>
      <c r="T191" s="58">
        <f t="shared" si="21"/>
        <v>1</v>
      </c>
      <c r="U191" s="58">
        <f t="shared" si="22"/>
        <v>0</v>
      </c>
      <c r="V191" s="58">
        <f t="shared" si="23"/>
        <v>0</v>
      </c>
    </row>
    <row r="192" spans="1:22">
      <c r="A192" s="6" t="s">
        <v>378</v>
      </c>
      <c r="B192">
        <v>0</v>
      </c>
      <c r="C192" s="16">
        <f t="shared" si="16"/>
        <v>0</v>
      </c>
      <c r="E192" s="6" t="s">
        <v>190</v>
      </c>
      <c r="F192" s="6" t="s">
        <v>194</v>
      </c>
      <c r="G192" s="8">
        <v>0</v>
      </c>
      <c r="H192" s="16">
        <f t="shared" si="17"/>
        <v>0</v>
      </c>
      <c r="N192" s="6" t="s">
        <v>378</v>
      </c>
      <c r="O192" s="58">
        <v>0</v>
      </c>
      <c r="P192" s="58">
        <f t="shared" si="18"/>
        <v>0</v>
      </c>
      <c r="Q192">
        <v>0</v>
      </c>
      <c r="R192" s="58">
        <f t="shared" si="19"/>
        <v>0</v>
      </c>
      <c r="S192" s="58">
        <f t="shared" si="20"/>
        <v>1</v>
      </c>
      <c r="T192" s="58">
        <f t="shared" si="21"/>
        <v>0</v>
      </c>
      <c r="U192" s="58">
        <f t="shared" si="22"/>
        <v>0</v>
      </c>
      <c r="V192" s="58">
        <f t="shared" si="23"/>
        <v>0</v>
      </c>
    </row>
    <row r="193" spans="1:22">
      <c r="A193" s="6" t="s">
        <v>380</v>
      </c>
      <c r="B193">
        <v>0</v>
      </c>
      <c r="C193" s="16">
        <f t="shared" si="16"/>
        <v>0</v>
      </c>
      <c r="E193" s="6" t="s">
        <v>190</v>
      </c>
      <c r="F193" s="6" t="s">
        <v>195</v>
      </c>
      <c r="G193" s="8">
        <v>0</v>
      </c>
      <c r="H193" s="16">
        <f t="shared" si="17"/>
        <v>0</v>
      </c>
      <c r="N193" s="6" t="s">
        <v>380</v>
      </c>
      <c r="O193" s="58">
        <v>0</v>
      </c>
      <c r="P193" s="58">
        <f t="shared" si="18"/>
        <v>0</v>
      </c>
      <c r="Q193">
        <v>0</v>
      </c>
      <c r="R193" s="58">
        <f t="shared" si="19"/>
        <v>0</v>
      </c>
      <c r="S193" s="58">
        <f t="shared" si="20"/>
        <v>1</v>
      </c>
      <c r="T193" s="58">
        <f t="shared" si="21"/>
        <v>0</v>
      </c>
      <c r="U193" s="58">
        <f t="shared" si="22"/>
        <v>0</v>
      </c>
      <c r="V193" s="58">
        <f t="shared" si="23"/>
        <v>0</v>
      </c>
    </row>
    <row r="194" spans="1:22">
      <c r="A194" s="6" t="s">
        <v>381</v>
      </c>
      <c r="B194">
        <v>0</v>
      </c>
      <c r="C194" s="16">
        <f t="shared" si="16"/>
        <v>0</v>
      </c>
      <c r="E194" s="6" t="s">
        <v>190</v>
      </c>
      <c r="F194" s="6" t="s">
        <v>196</v>
      </c>
      <c r="G194" s="8">
        <v>0</v>
      </c>
      <c r="H194" s="16">
        <f t="shared" si="17"/>
        <v>0</v>
      </c>
      <c r="N194" s="6" t="s">
        <v>381</v>
      </c>
      <c r="O194" s="58">
        <v>0</v>
      </c>
      <c r="P194" s="58">
        <f t="shared" si="18"/>
        <v>0</v>
      </c>
      <c r="Q194">
        <v>0</v>
      </c>
      <c r="R194" s="58">
        <f t="shared" si="19"/>
        <v>0</v>
      </c>
      <c r="S194" s="58">
        <f t="shared" si="20"/>
        <v>1</v>
      </c>
      <c r="T194" s="58">
        <f t="shared" si="21"/>
        <v>0</v>
      </c>
      <c r="U194" s="58">
        <f t="shared" si="22"/>
        <v>0</v>
      </c>
      <c r="V194" s="58">
        <f t="shared" si="23"/>
        <v>0</v>
      </c>
    </row>
    <row r="195" spans="1:22">
      <c r="A195" s="6" t="s">
        <v>383</v>
      </c>
      <c r="B195">
        <v>0</v>
      </c>
      <c r="C195" s="16">
        <f t="shared" ref="C195:C226" si="24">IF(B195=0,0,1)</f>
        <v>0</v>
      </c>
      <c r="E195" s="6" t="s">
        <v>197</v>
      </c>
      <c r="F195" s="6" t="s">
        <v>198</v>
      </c>
      <c r="G195" s="8">
        <v>0</v>
      </c>
      <c r="H195" s="16">
        <f t="shared" ref="H195:H258" si="25">IF(G195=0,0,1)</f>
        <v>0</v>
      </c>
      <c r="N195" s="6" t="s">
        <v>383</v>
      </c>
      <c r="O195" s="58">
        <v>0</v>
      </c>
      <c r="P195" s="58">
        <f t="shared" ref="P195:P226" si="26">IF(O195=0,0,1)</f>
        <v>0</v>
      </c>
      <c r="Q195">
        <v>2</v>
      </c>
      <c r="R195" s="58">
        <f t="shared" ref="R195:R226" si="27">IF(Q195=0,0,1)</f>
        <v>1</v>
      </c>
      <c r="S195" s="58">
        <f t="shared" ref="S195:S226" si="28">IF(AND(P195=0,R195 = 0), 1, 0)</f>
        <v>0</v>
      </c>
      <c r="T195" s="58">
        <f t="shared" ref="T195:T226" si="29">IF(AND(P195=1,R195=0),1,0)</f>
        <v>0</v>
      </c>
      <c r="U195" s="58">
        <f t="shared" ref="U195:U226" si="30">IF(AND(P195=0,R195=1),1,0)</f>
        <v>1</v>
      </c>
      <c r="V195" s="58">
        <f t="shared" ref="V195:V226" si="31">IF(AND(P195=1,R195=1),1,0)</f>
        <v>0</v>
      </c>
    </row>
    <row r="196" spans="1:22">
      <c r="A196" s="6" t="s">
        <v>384</v>
      </c>
      <c r="B196">
        <v>0</v>
      </c>
      <c r="C196" s="16">
        <f t="shared" si="24"/>
        <v>0</v>
      </c>
      <c r="E196" s="6" t="s">
        <v>199</v>
      </c>
      <c r="F196" s="6" t="s">
        <v>200</v>
      </c>
      <c r="G196" s="8">
        <v>8</v>
      </c>
      <c r="H196" s="16">
        <f t="shared" si="25"/>
        <v>1</v>
      </c>
      <c r="N196" s="6" t="s">
        <v>384</v>
      </c>
      <c r="O196" s="58">
        <v>0</v>
      </c>
      <c r="P196" s="58">
        <f t="shared" si="26"/>
        <v>0</v>
      </c>
      <c r="Q196">
        <v>0</v>
      </c>
      <c r="R196" s="58">
        <f t="shared" si="27"/>
        <v>0</v>
      </c>
      <c r="S196" s="58">
        <f t="shared" si="28"/>
        <v>1</v>
      </c>
      <c r="T196" s="58">
        <f t="shared" si="29"/>
        <v>0</v>
      </c>
      <c r="U196" s="58">
        <f t="shared" si="30"/>
        <v>0</v>
      </c>
      <c r="V196" s="58">
        <f t="shared" si="31"/>
        <v>0</v>
      </c>
    </row>
    <row r="197" spans="1:22">
      <c r="A197" s="6" t="s">
        <v>385</v>
      </c>
      <c r="B197">
        <v>0</v>
      </c>
      <c r="C197" s="16">
        <f t="shared" si="24"/>
        <v>0</v>
      </c>
      <c r="E197" s="6" t="s">
        <v>199</v>
      </c>
      <c r="F197" s="6" t="s">
        <v>201</v>
      </c>
      <c r="G197" s="8">
        <v>0</v>
      </c>
      <c r="H197" s="16">
        <f t="shared" si="25"/>
        <v>0</v>
      </c>
      <c r="N197" s="6" t="s">
        <v>385</v>
      </c>
      <c r="O197" s="58">
        <v>0</v>
      </c>
      <c r="P197" s="58">
        <f t="shared" si="26"/>
        <v>0</v>
      </c>
      <c r="Q197">
        <v>8</v>
      </c>
      <c r="R197" s="58">
        <f t="shared" si="27"/>
        <v>1</v>
      </c>
      <c r="S197" s="58">
        <f t="shared" si="28"/>
        <v>0</v>
      </c>
      <c r="T197" s="58">
        <f t="shared" si="29"/>
        <v>0</v>
      </c>
      <c r="U197" s="58">
        <f t="shared" si="30"/>
        <v>1</v>
      </c>
      <c r="V197" s="58">
        <f t="shared" si="31"/>
        <v>0</v>
      </c>
    </row>
    <row r="198" spans="1:22">
      <c r="A198" s="6" t="s">
        <v>387</v>
      </c>
      <c r="B198">
        <v>0</v>
      </c>
      <c r="C198" s="16">
        <f t="shared" si="24"/>
        <v>0</v>
      </c>
      <c r="E198" s="6" t="s">
        <v>199</v>
      </c>
      <c r="F198" s="6" t="s">
        <v>202</v>
      </c>
      <c r="G198" s="8">
        <v>0</v>
      </c>
      <c r="H198" s="16">
        <f t="shared" si="25"/>
        <v>0</v>
      </c>
      <c r="N198" s="6" t="s">
        <v>387</v>
      </c>
      <c r="O198" s="58">
        <v>0</v>
      </c>
      <c r="P198" s="58">
        <f t="shared" si="26"/>
        <v>0</v>
      </c>
      <c r="Q198">
        <v>12</v>
      </c>
      <c r="R198" s="58">
        <f t="shared" si="27"/>
        <v>1</v>
      </c>
      <c r="S198" s="58">
        <f t="shared" si="28"/>
        <v>0</v>
      </c>
      <c r="T198" s="58">
        <f t="shared" si="29"/>
        <v>0</v>
      </c>
      <c r="U198" s="58">
        <f t="shared" si="30"/>
        <v>1</v>
      </c>
      <c r="V198" s="58">
        <f t="shared" si="31"/>
        <v>0</v>
      </c>
    </row>
    <row r="199" spans="1:22">
      <c r="A199" s="6" t="s">
        <v>389</v>
      </c>
      <c r="B199">
        <v>0</v>
      </c>
      <c r="C199" s="16">
        <f t="shared" si="24"/>
        <v>0</v>
      </c>
      <c r="E199" s="6" t="s">
        <v>199</v>
      </c>
      <c r="F199" s="6" t="s">
        <v>203</v>
      </c>
      <c r="G199" s="8">
        <v>0</v>
      </c>
      <c r="H199" s="16">
        <f t="shared" si="25"/>
        <v>0</v>
      </c>
      <c r="N199" s="6" t="s">
        <v>389</v>
      </c>
      <c r="O199" s="58">
        <v>0</v>
      </c>
      <c r="P199" s="58">
        <f t="shared" si="26"/>
        <v>0</v>
      </c>
      <c r="Q199">
        <v>4</v>
      </c>
      <c r="R199" s="58">
        <f t="shared" si="27"/>
        <v>1</v>
      </c>
      <c r="S199" s="58">
        <f t="shared" si="28"/>
        <v>0</v>
      </c>
      <c r="T199" s="58">
        <f t="shared" si="29"/>
        <v>0</v>
      </c>
      <c r="U199" s="58">
        <f t="shared" si="30"/>
        <v>1</v>
      </c>
      <c r="V199" s="58">
        <f t="shared" si="31"/>
        <v>0</v>
      </c>
    </row>
    <row r="200" spans="1:22">
      <c r="A200" s="6" t="s">
        <v>391</v>
      </c>
      <c r="B200">
        <v>0</v>
      </c>
      <c r="C200" s="16">
        <f t="shared" si="24"/>
        <v>0</v>
      </c>
      <c r="E200" s="6" t="s">
        <v>199</v>
      </c>
      <c r="F200" s="6" t="s">
        <v>204</v>
      </c>
      <c r="G200" s="8">
        <v>0</v>
      </c>
      <c r="H200" s="16">
        <f t="shared" si="25"/>
        <v>0</v>
      </c>
      <c r="N200" s="6" t="s">
        <v>391</v>
      </c>
      <c r="O200" s="58">
        <v>0</v>
      </c>
      <c r="P200" s="58">
        <f t="shared" si="26"/>
        <v>0</v>
      </c>
      <c r="Q200">
        <v>0</v>
      </c>
      <c r="R200" s="58">
        <f t="shared" si="27"/>
        <v>0</v>
      </c>
      <c r="S200" s="58">
        <f t="shared" si="28"/>
        <v>1</v>
      </c>
      <c r="T200" s="58">
        <f t="shared" si="29"/>
        <v>0</v>
      </c>
      <c r="U200" s="58">
        <f t="shared" si="30"/>
        <v>0</v>
      </c>
      <c r="V200" s="58">
        <f t="shared" si="31"/>
        <v>0</v>
      </c>
    </row>
    <row r="201" spans="1:22">
      <c r="A201" s="6" t="s">
        <v>393</v>
      </c>
      <c r="B201">
        <v>0</v>
      </c>
      <c r="C201" s="16">
        <f t="shared" si="24"/>
        <v>0</v>
      </c>
      <c r="E201" s="6" t="s">
        <v>205</v>
      </c>
      <c r="F201" s="6" t="s">
        <v>206</v>
      </c>
      <c r="G201" s="8">
        <v>1</v>
      </c>
      <c r="H201" s="16">
        <f t="shared" si="25"/>
        <v>1</v>
      </c>
      <c r="N201" s="6" t="s">
        <v>393</v>
      </c>
      <c r="O201" s="58">
        <v>0</v>
      </c>
      <c r="P201" s="58">
        <f t="shared" si="26"/>
        <v>0</v>
      </c>
      <c r="Q201">
        <v>0</v>
      </c>
      <c r="R201" s="58">
        <f t="shared" si="27"/>
        <v>0</v>
      </c>
      <c r="S201" s="58">
        <f t="shared" si="28"/>
        <v>1</v>
      </c>
      <c r="T201" s="58">
        <f t="shared" si="29"/>
        <v>0</v>
      </c>
      <c r="U201" s="58">
        <f t="shared" si="30"/>
        <v>0</v>
      </c>
      <c r="V201" s="58">
        <f t="shared" si="31"/>
        <v>0</v>
      </c>
    </row>
    <row r="202" spans="1:22">
      <c r="A202" s="6" t="s">
        <v>395</v>
      </c>
      <c r="B202">
        <v>2</v>
      </c>
      <c r="C202" s="16">
        <f t="shared" si="24"/>
        <v>1</v>
      </c>
      <c r="E202" s="6" t="s">
        <v>205</v>
      </c>
      <c r="F202" s="6" t="s">
        <v>207</v>
      </c>
      <c r="G202" s="8">
        <v>0</v>
      </c>
      <c r="H202" s="16">
        <f t="shared" si="25"/>
        <v>0</v>
      </c>
      <c r="N202" s="6" t="s">
        <v>395</v>
      </c>
      <c r="O202" s="58">
        <v>2</v>
      </c>
      <c r="P202" s="58">
        <f t="shared" si="26"/>
        <v>1</v>
      </c>
      <c r="Q202">
        <v>1</v>
      </c>
      <c r="R202" s="58">
        <f t="shared" si="27"/>
        <v>1</v>
      </c>
      <c r="S202" s="58">
        <f t="shared" si="28"/>
        <v>0</v>
      </c>
      <c r="T202" s="58">
        <f t="shared" si="29"/>
        <v>0</v>
      </c>
      <c r="U202" s="58">
        <f t="shared" si="30"/>
        <v>0</v>
      </c>
      <c r="V202" s="58">
        <f t="shared" si="31"/>
        <v>1</v>
      </c>
    </row>
    <row r="203" spans="1:22">
      <c r="A203" s="6" t="s">
        <v>398</v>
      </c>
      <c r="B203">
        <v>1</v>
      </c>
      <c r="C203" s="16">
        <f t="shared" si="24"/>
        <v>1</v>
      </c>
      <c r="E203" s="6" t="s">
        <v>205</v>
      </c>
      <c r="F203" s="6" t="s">
        <v>208</v>
      </c>
      <c r="G203" s="8">
        <v>0</v>
      </c>
      <c r="H203" s="16">
        <f t="shared" si="25"/>
        <v>0</v>
      </c>
      <c r="N203" s="6" t="s">
        <v>398</v>
      </c>
      <c r="O203" s="58">
        <v>1</v>
      </c>
      <c r="P203" s="58">
        <f t="shared" si="26"/>
        <v>1</v>
      </c>
      <c r="Q203">
        <v>1</v>
      </c>
      <c r="R203" s="58">
        <f t="shared" si="27"/>
        <v>1</v>
      </c>
      <c r="S203" s="58">
        <f t="shared" si="28"/>
        <v>0</v>
      </c>
      <c r="T203" s="58">
        <f t="shared" si="29"/>
        <v>0</v>
      </c>
      <c r="U203" s="58">
        <f t="shared" si="30"/>
        <v>0</v>
      </c>
      <c r="V203" s="58">
        <f t="shared" si="31"/>
        <v>1</v>
      </c>
    </row>
    <row r="204" spans="1:22">
      <c r="A204" s="6" t="s">
        <v>400</v>
      </c>
      <c r="B204">
        <v>4</v>
      </c>
      <c r="C204" s="16">
        <f t="shared" si="24"/>
        <v>1</v>
      </c>
      <c r="E204" s="6" t="s">
        <v>209</v>
      </c>
      <c r="F204" s="6" t="s">
        <v>206</v>
      </c>
      <c r="G204" s="8">
        <v>0</v>
      </c>
      <c r="H204" s="16">
        <f t="shared" si="25"/>
        <v>0</v>
      </c>
      <c r="N204" s="6" t="s">
        <v>400</v>
      </c>
      <c r="O204" s="58">
        <v>4</v>
      </c>
      <c r="P204" s="58">
        <f t="shared" si="26"/>
        <v>1</v>
      </c>
      <c r="Q204">
        <v>9</v>
      </c>
      <c r="R204" s="58">
        <f t="shared" si="27"/>
        <v>1</v>
      </c>
      <c r="S204" s="58">
        <f t="shared" si="28"/>
        <v>0</v>
      </c>
      <c r="T204" s="58">
        <f t="shared" si="29"/>
        <v>0</v>
      </c>
      <c r="U204" s="58">
        <f t="shared" si="30"/>
        <v>0</v>
      </c>
      <c r="V204" s="58">
        <f t="shared" si="31"/>
        <v>1</v>
      </c>
    </row>
    <row r="205" spans="1:22">
      <c r="A205" s="6" t="s">
        <v>402</v>
      </c>
      <c r="B205">
        <v>17</v>
      </c>
      <c r="C205" s="16">
        <f t="shared" si="24"/>
        <v>1</v>
      </c>
      <c r="E205" s="6" t="s">
        <v>209</v>
      </c>
      <c r="F205" s="6" t="s">
        <v>207</v>
      </c>
      <c r="G205" s="8">
        <v>0</v>
      </c>
      <c r="H205" s="16">
        <f t="shared" si="25"/>
        <v>0</v>
      </c>
      <c r="N205" s="6" t="s">
        <v>402</v>
      </c>
      <c r="O205" s="58">
        <v>17</v>
      </c>
      <c r="P205" s="58">
        <f t="shared" si="26"/>
        <v>1</v>
      </c>
      <c r="Q205">
        <v>11</v>
      </c>
      <c r="R205" s="58">
        <f t="shared" si="27"/>
        <v>1</v>
      </c>
      <c r="S205" s="58">
        <f t="shared" si="28"/>
        <v>0</v>
      </c>
      <c r="T205" s="58">
        <f t="shared" si="29"/>
        <v>0</v>
      </c>
      <c r="U205" s="58">
        <f t="shared" si="30"/>
        <v>0</v>
      </c>
      <c r="V205" s="58">
        <f t="shared" si="31"/>
        <v>1</v>
      </c>
    </row>
    <row r="206" spans="1:22">
      <c r="A206" s="6" t="s">
        <v>403</v>
      </c>
      <c r="B206">
        <v>0</v>
      </c>
      <c r="C206" s="16">
        <f t="shared" si="24"/>
        <v>0</v>
      </c>
      <c r="E206" s="6" t="s">
        <v>209</v>
      </c>
      <c r="F206" s="6" t="s">
        <v>210</v>
      </c>
      <c r="G206" s="8">
        <v>0</v>
      </c>
      <c r="H206" s="16">
        <f t="shared" si="25"/>
        <v>0</v>
      </c>
      <c r="N206" s="6" t="s">
        <v>403</v>
      </c>
      <c r="O206" s="58">
        <v>0</v>
      </c>
      <c r="P206" s="58">
        <f t="shared" si="26"/>
        <v>0</v>
      </c>
      <c r="Q206">
        <v>0</v>
      </c>
      <c r="R206" s="58">
        <f t="shared" si="27"/>
        <v>0</v>
      </c>
      <c r="S206" s="58">
        <f t="shared" si="28"/>
        <v>1</v>
      </c>
      <c r="T206" s="58">
        <f t="shared" si="29"/>
        <v>0</v>
      </c>
      <c r="U206" s="58">
        <f t="shared" si="30"/>
        <v>0</v>
      </c>
      <c r="V206" s="58">
        <f t="shared" si="31"/>
        <v>0</v>
      </c>
    </row>
    <row r="207" spans="1:22">
      <c r="A207" s="6" t="s">
        <v>405</v>
      </c>
      <c r="B207">
        <v>7</v>
      </c>
      <c r="C207" s="16">
        <f t="shared" si="24"/>
        <v>1</v>
      </c>
      <c r="E207" s="6" t="s">
        <v>211</v>
      </c>
      <c r="F207" s="6" t="s">
        <v>206</v>
      </c>
      <c r="G207" s="8">
        <v>0</v>
      </c>
      <c r="H207" s="16">
        <f t="shared" si="25"/>
        <v>0</v>
      </c>
      <c r="N207" s="6" t="s">
        <v>405</v>
      </c>
      <c r="O207" s="58">
        <v>7</v>
      </c>
      <c r="P207" s="58">
        <f t="shared" si="26"/>
        <v>1</v>
      </c>
      <c r="Q207">
        <v>33</v>
      </c>
      <c r="R207" s="58">
        <f t="shared" si="27"/>
        <v>1</v>
      </c>
      <c r="S207" s="58">
        <f t="shared" si="28"/>
        <v>0</v>
      </c>
      <c r="T207" s="58">
        <f t="shared" si="29"/>
        <v>0</v>
      </c>
      <c r="U207" s="58">
        <f t="shared" si="30"/>
        <v>0</v>
      </c>
      <c r="V207" s="58">
        <f t="shared" si="31"/>
        <v>1</v>
      </c>
    </row>
    <row r="208" spans="1:22">
      <c r="A208" s="6" t="s">
        <v>409</v>
      </c>
      <c r="B208">
        <v>0</v>
      </c>
      <c r="C208" s="16">
        <f t="shared" si="24"/>
        <v>0</v>
      </c>
      <c r="E208" s="6" t="s">
        <v>211</v>
      </c>
      <c r="F208" s="6" t="s">
        <v>207</v>
      </c>
      <c r="G208" s="8">
        <v>0</v>
      </c>
      <c r="H208" s="16">
        <f t="shared" si="25"/>
        <v>0</v>
      </c>
      <c r="N208" s="6" t="s">
        <v>409</v>
      </c>
      <c r="O208" s="58">
        <v>0</v>
      </c>
      <c r="P208" s="58">
        <f t="shared" si="26"/>
        <v>0</v>
      </c>
      <c r="Q208">
        <v>8</v>
      </c>
      <c r="R208" s="58">
        <f t="shared" si="27"/>
        <v>1</v>
      </c>
      <c r="S208" s="58">
        <f t="shared" si="28"/>
        <v>0</v>
      </c>
      <c r="T208" s="58">
        <f t="shared" si="29"/>
        <v>0</v>
      </c>
      <c r="U208" s="58">
        <f t="shared" si="30"/>
        <v>1</v>
      </c>
      <c r="V208" s="58">
        <f t="shared" si="31"/>
        <v>0</v>
      </c>
    </row>
    <row r="209" spans="1:22">
      <c r="A209" s="6" t="s">
        <v>411</v>
      </c>
      <c r="B209">
        <v>29</v>
      </c>
      <c r="C209" s="16">
        <f t="shared" si="24"/>
        <v>1</v>
      </c>
      <c r="E209" s="6" t="s">
        <v>211</v>
      </c>
      <c r="F209" s="6" t="s">
        <v>210</v>
      </c>
      <c r="G209" s="8">
        <v>0</v>
      </c>
      <c r="H209" s="16">
        <f t="shared" si="25"/>
        <v>0</v>
      </c>
      <c r="N209" s="6" t="s">
        <v>411</v>
      </c>
      <c r="O209" s="58">
        <v>29</v>
      </c>
      <c r="P209" s="58">
        <f t="shared" si="26"/>
        <v>1</v>
      </c>
      <c r="Q209">
        <v>72</v>
      </c>
      <c r="R209" s="58">
        <f t="shared" si="27"/>
        <v>1</v>
      </c>
      <c r="S209" s="58">
        <f t="shared" si="28"/>
        <v>0</v>
      </c>
      <c r="T209" s="58">
        <f t="shared" si="29"/>
        <v>0</v>
      </c>
      <c r="U209" s="58">
        <f t="shared" si="30"/>
        <v>0</v>
      </c>
      <c r="V209" s="58">
        <f t="shared" si="31"/>
        <v>1</v>
      </c>
    </row>
    <row r="210" spans="1:22">
      <c r="A210" s="6" t="s">
        <v>415</v>
      </c>
      <c r="B210">
        <v>0</v>
      </c>
      <c r="C210" s="16">
        <f t="shared" si="24"/>
        <v>0</v>
      </c>
      <c r="E210" s="6" t="s">
        <v>212</v>
      </c>
      <c r="F210" s="6" t="s">
        <v>213</v>
      </c>
      <c r="G210" s="8">
        <v>0</v>
      </c>
      <c r="H210" s="16">
        <f t="shared" si="25"/>
        <v>0</v>
      </c>
      <c r="N210" s="6" t="s">
        <v>415</v>
      </c>
      <c r="O210" s="58">
        <v>0</v>
      </c>
      <c r="P210" s="58">
        <f t="shared" si="26"/>
        <v>0</v>
      </c>
      <c r="Q210">
        <v>0</v>
      </c>
      <c r="R210" s="58">
        <f t="shared" si="27"/>
        <v>0</v>
      </c>
      <c r="S210" s="58">
        <f t="shared" si="28"/>
        <v>1</v>
      </c>
      <c r="T210" s="58">
        <f t="shared" si="29"/>
        <v>0</v>
      </c>
      <c r="U210" s="58">
        <f t="shared" si="30"/>
        <v>0</v>
      </c>
      <c r="V210" s="58">
        <f t="shared" si="31"/>
        <v>0</v>
      </c>
    </row>
    <row r="211" spans="1:22">
      <c r="A211" s="6" t="s">
        <v>417</v>
      </c>
      <c r="B211">
        <v>0</v>
      </c>
      <c r="C211" s="16">
        <f t="shared" si="24"/>
        <v>0</v>
      </c>
      <c r="E211" s="6" t="s">
        <v>214</v>
      </c>
      <c r="F211" s="6" t="s">
        <v>215</v>
      </c>
      <c r="G211" s="8">
        <v>0</v>
      </c>
      <c r="H211" s="16">
        <f t="shared" si="25"/>
        <v>0</v>
      </c>
      <c r="N211" s="6" t="s">
        <v>417</v>
      </c>
      <c r="O211" s="58">
        <v>0</v>
      </c>
      <c r="P211" s="58">
        <f t="shared" si="26"/>
        <v>0</v>
      </c>
      <c r="Q211">
        <v>11</v>
      </c>
      <c r="R211" s="58">
        <f t="shared" si="27"/>
        <v>1</v>
      </c>
      <c r="S211" s="58">
        <f t="shared" si="28"/>
        <v>0</v>
      </c>
      <c r="T211" s="58">
        <f t="shared" si="29"/>
        <v>0</v>
      </c>
      <c r="U211" s="58">
        <f t="shared" si="30"/>
        <v>1</v>
      </c>
      <c r="V211" s="58">
        <f t="shared" si="31"/>
        <v>0</v>
      </c>
    </row>
    <row r="212" spans="1:22">
      <c r="A212" s="6" t="s">
        <v>419</v>
      </c>
      <c r="B212">
        <v>0</v>
      </c>
      <c r="C212" s="16">
        <f t="shared" si="24"/>
        <v>0</v>
      </c>
      <c r="E212" s="6" t="s">
        <v>216</v>
      </c>
      <c r="F212" s="6" t="s">
        <v>215</v>
      </c>
      <c r="G212" s="8">
        <v>0</v>
      </c>
      <c r="H212" s="16">
        <f t="shared" si="25"/>
        <v>0</v>
      </c>
      <c r="N212" s="6" t="s">
        <v>419</v>
      </c>
      <c r="O212" s="58">
        <v>0</v>
      </c>
      <c r="P212" s="58">
        <f t="shared" si="26"/>
        <v>0</v>
      </c>
      <c r="Q212">
        <v>8</v>
      </c>
      <c r="R212" s="58">
        <f t="shared" si="27"/>
        <v>1</v>
      </c>
      <c r="S212" s="58">
        <f t="shared" si="28"/>
        <v>0</v>
      </c>
      <c r="T212" s="58">
        <f t="shared" si="29"/>
        <v>0</v>
      </c>
      <c r="U212" s="58">
        <f t="shared" si="30"/>
        <v>1</v>
      </c>
      <c r="V212" s="58">
        <f t="shared" si="31"/>
        <v>0</v>
      </c>
    </row>
    <row r="213" spans="1:22">
      <c r="A213" s="6" t="s">
        <v>422</v>
      </c>
      <c r="B213">
        <v>0</v>
      </c>
      <c r="C213" s="16">
        <f t="shared" si="24"/>
        <v>0</v>
      </c>
      <c r="E213" s="6" t="s">
        <v>217</v>
      </c>
      <c r="F213" s="6" t="s">
        <v>215</v>
      </c>
      <c r="G213" s="8">
        <v>0</v>
      </c>
      <c r="H213" s="16">
        <f t="shared" si="25"/>
        <v>0</v>
      </c>
      <c r="N213" s="6" t="s">
        <v>422</v>
      </c>
      <c r="O213" s="58">
        <v>0</v>
      </c>
      <c r="P213" s="58">
        <f t="shared" si="26"/>
        <v>0</v>
      </c>
      <c r="Q213">
        <v>33</v>
      </c>
      <c r="R213" s="58">
        <f t="shared" si="27"/>
        <v>1</v>
      </c>
      <c r="S213" s="58">
        <f t="shared" si="28"/>
        <v>0</v>
      </c>
      <c r="T213" s="58">
        <f t="shared" si="29"/>
        <v>0</v>
      </c>
      <c r="U213" s="58">
        <f t="shared" si="30"/>
        <v>1</v>
      </c>
      <c r="V213" s="58">
        <f t="shared" si="31"/>
        <v>0</v>
      </c>
    </row>
    <row r="214" spans="1:22">
      <c r="A214" s="6" t="s">
        <v>425</v>
      </c>
      <c r="B214">
        <v>4</v>
      </c>
      <c r="C214" s="16">
        <f t="shared" si="24"/>
        <v>1</v>
      </c>
      <c r="E214" s="6" t="s">
        <v>218</v>
      </c>
      <c r="F214" s="6" t="s">
        <v>215</v>
      </c>
      <c r="G214" s="8">
        <v>0</v>
      </c>
      <c r="H214" s="16">
        <f t="shared" si="25"/>
        <v>0</v>
      </c>
      <c r="N214" s="6" t="s">
        <v>425</v>
      </c>
      <c r="O214" s="58">
        <v>4</v>
      </c>
      <c r="P214" s="58">
        <f t="shared" si="26"/>
        <v>1</v>
      </c>
      <c r="Q214">
        <v>24</v>
      </c>
      <c r="R214" s="58">
        <f t="shared" si="27"/>
        <v>1</v>
      </c>
      <c r="S214" s="58">
        <f t="shared" si="28"/>
        <v>0</v>
      </c>
      <c r="T214" s="58">
        <f t="shared" si="29"/>
        <v>0</v>
      </c>
      <c r="U214" s="58">
        <f t="shared" si="30"/>
        <v>0</v>
      </c>
      <c r="V214" s="58">
        <f t="shared" si="31"/>
        <v>1</v>
      </c>
    </row>
    <row r="215" spans="1:22">
      <c r="A215" s="6" t="s">
        <v>427</v>
      </c>
      <c r="B215">
        <v>0</v>
      </c>
      <c r="C215" s="16">
        <f t="shared" si="24"/>
        <v>0</v>
      </c>
      <c r="E215" s="6" t="s">
        <v>219</v>
      </c>
      <c r="F215" s="6" t="s">
        <v>215</v>
      </c>
      <c r="G215" s="8">
        <v>0</v>
      </c>
      <c r="H215" s="16">
        <f t="shared" si="25"/>
        <v>0</v>
      </c>
      <c r="N215" s="6" t="s">
        <v>427</v>
      </c>
      <c r="O215" s="58">
        <v>0</v>
      </c>
      <c r="P215" s="58">
        <f t="shared" si="26"/>
        <v>0</v>
      </c>
      <c r="Q215">
        <v>1</v>
      </c>
      <c r="R215" s="58">
        <f t="shared" si="27"/>
        <v>1</v>
      </c>
      <c r="S215" s="58">
        <f t="shared" si="28"/>
        <v>0</v>
      </c>
      <c r="T215" s="58">
        <f t="shared" si="29"/>
        <v>0</v>
      </c>
      <c r="U215" s="58">
        <f t="shared" si="30"/>
        <v>1</v>
      </c>
      <c r="V215" s="58">
        <f t="shared" si="31"/>
        <v>0</v>
      </c>
    </row>
    <row r="216" spans="1:22">
      <c r="A216" s="6" t="s">
        <v>428</v>
      </c>
      <c r="B216">
        <v>0</v>
      </c>
      <c r="C216" s="16">
        <f t="shared" si="24"/>
        <v>0</v>
      </c>
      <c r="E216" s="6" t="s">
        <v>220</v>
      </c>
      <c r="F216" s="6" t="s">
        <v>215</v>
      </c>
      <c r="G216" s="8">
        <v>0</v>
      </c>
      <c r="H216" s="16">
        <f t="shared" si="25"/>
        <v>0</v>
      </c>
      <c r="N216" s="6" t="s">
        <v>428</v>
      </c>
      <c r="O216" s="58">
        <v>0</v>
      </c>
      <c r="P216" s="58">
        <f t="shared" si="26"/>
        <v>0</v>
      </c>
      <c r="Q216">
        <v>10</v>
      </c>
      <c r="R216" s="58">
        <f t="shared" si="27"/>
        <v>1</v>
      </c>
      <c r="S216" s="58">
        <f t="shared" si="28"/>
        <v>0</v>
      </c>
      <c r="T216" s="58">
        <f t="shared" si="29"/>
        <v>0</v>
      </c>
      <c r="U216" s="58">
        <f t="shared" si="30"/>
        <v>1</v>
      </c>
      <c r="V216" s="58">
        <f t="shared" si="31"/>
        <v>0</v>
      </c>
    </row>
    <row r="217" spans="1:22">
      <c r="A217" s="6" t="s">
        <v>432</v>
      </c>
      <c r="B217">
        <v>1</v>
      </c>
      <c r="C217" s="16">
        <f t="shared" si="24"/>
        <v>1</v>
      </c>
      <c r="E217" s="6" t="s">
        <v>221</v>
      </c>
      <c r="F217" s="6" t="s">
        <v>222</v>
      </c>
      <c r="G217" s="8">
        <v>0</v>
      </c>
      <c r="H217" s="16">
        <f t="shared" si="25"/>
        <v>0</v>
      </c>
      <c r="N217" s="6" t="s">
        <v>432</v>
      </c>
      <c r="O217" s="58">
        <v>1</v>
      </c>
      <c r="P217" s="58">
        <f t="shared" si="26"/>
        <v>1</v>
      </c>
      <c r="Q217">
        <v>5</v>
      </c>
      <c r="R217" s="58">
        <f t="shared" si="27"/>
        <v>1</v>
      </c>
      <c r="S217" s="58">
        <f t="shared" si="28"/>
        <v>0</v>
      </c>
      <c r="T217" s="58">
        <f t="shared" si="29"/>
        <v>0</v>
      </c>
      <c r="U217" s="58">
        <f t="shared" si="30"/>
        <v>0</v>
      </c>
      <c r="V217" s="58">
        <f t="shared" si="31"/>
        <v>1</v>
      </c>
    </row>
    <row r="218" spans="1:22">
      <c r="A218" s="6" t="s">
        <v>433</v>
      </c>
      <c r="B218">
        <v>0</v>
      </c>
      <c r="C218" s="16">
        <f t="shared" si="24"/>
        <v>0</v>
      </c>
      <c r="E218" s="6" t="s">
        <v>221</v>
      </c>
      <c r="F218" s="6" t="s">
        <v>223</v>
      </c>
      <c r="G218" s="8">
        <v>0</v>
      </c>
      <c r="H218" s="16">
        <f t="shared" si="25"/>
        <v>0</v>
      </c>
      <c r="N218" s="6" t="s">
        <v>433</v>
      </c>
      <c r="O218" s="58">
        <v>0</v>
      </c>
      <c r="P218" s="58">
        <f t="shared" si="26"/>
        <v>0</v>
      </c>
      <c r="Q218">
        <v>22</v>
      </c>
      <c r="R218" s="58">
        <f t="shared" si="27"/>
        <v>1</v>
      </c>
      <c r="S218" s="58">
        <f t="shared" si="28"/>
        <v>0</v>
      </c>
      <c r="T218" s="58">
        <f t="shared" si="29"/>
        <v>0</v>
      </c>
      <c r="U218" s="58">
        <f t="shared" si="30"/>
        <v>1</v>
      </c>
      <c r="V218" s="58">
        <f t="shared" si="31"/>
        <v>0</v>
      </c>
    </row>
    <row r="219" spans="1:22">
      <c r="A219" s="6" t="s">
        <v>434</v>
      </c>
      <c r="B219">
        <v>0</v>
      </c>
      <c r="C219" s="16">
        <f t="shared" si="24"/>
        <v>0</v>
      </c>
      <c r="E219" s="6" t="s">
        <v>224</v>
      </c>
      <c r="F219" s="6" t="s">
        <v>225</v>
      </c>
      <c r="G219" s="8">
        <v>0</v>
      </c>
      <c r="H219" s="16">
        <f t="shared" si="25"/>
        <v>0</v>
      </c>
      <c r="N219" s="6" t="s">
        <v>434</v>
      </c>
      <c r="O219" s="58">
        <v>0</v>
      </c>
      <c r="P219" s="58">
        <f t="shared" si="26"/>
        <v>0</v>
      </c>
      <c r="Q219">
        <v>1</v>
      </c>
      <c r="R219" s="58">
        <f t="shared" si="27"/>
        <v>1</v>
      </c>
      <c r="S219" s="58">
        <f t="shared" si="28"/>
        <v>0</v>
      </c>
      <c r="T219" s="58">
        <f t="shared" si="29"/>
        <v>0</v>
      </c>
      <c r="U219" s="58">
        <f t="shared" si="30"/>
        <v>1</v>
      </c>
      <c r="V219" s="58">
        <f t="shared" si="31"/>
        <v>0</v>
      </c>
    </row>
    <row r="220" spans="1:22">
      <c r="A220" s="6" t="s">
        <v>436</v>
      </c>
      <c r="B220">
        <v>3</v>
      </c>
      <c r="C220" s="16">
        <f t="shared" si="24"/>
        <v>1</v>
      </c>
      <c r="E220" s="6" t="s">
        <v>226</v>
      </c>
      <c r="F220" s="6" t="s">
        <v>227</v>
      </c>
      <c r="G220" s="8">
        <v>0</v>
      </c>
      <c r="H220" s="16">
        <f t="shared" si="25"/>
        <v>0</v>
      </c>
      <c r="N220" s="6" t="s">
        <v>436</v>
      </c>
      <c r="O220" s="58">
        <v>3</v>
      </c>
      <c r="P220" s="58">
        <f t="shared" si="26"/>
        <v>1</v>
      </c>
      <c r="Q220">
        <v>24</v>
      </c>
      <c r="R220" s="58">
        <f t="shared" si="27"/>
        <v>1</v>
      </c>
      <c r="S220" s="58">
        <f t="shared" si="28"/>
        <v>0</v>
      </c>
      <c r="T220" s="58">
        <f t="shared" si="29"/>
        <v>0</v>
      </c>
      <c r="U220" s="58">
        <f t="shared" si="30"/>
        <v>0</v>
      </c>
      <c r="V220" s="58">
        <f t="shared" si="31"/>
        <v>1</v>
      </c>
    </row>
    <row r="221" spans="1:22">
      <c r="A221" s="6" t="s">
        <v>437</v>
      </c>
      <c r="B221">
        <v>0</v>
      </c>
      <c r="C221" s="16">
        <f t="shared" si="24"/>
        <v>0</v>
      </c>
      <c r="E221" s="6" t="s">
        <v>228</v>
      </c>
      <c r="F221" s="6" t="s">
        <v>229</v>
      </c>
      <c r="G221" s="8">
        <v>15</v>
      </c>
      <c r="H221" s="16">
        <f t="shared" si="25"/>
        <v>1</v>
      </c>
      <c r="N221" s="6" t="s">
        <v>437</v>
      </c>
      <c r="O221" s="58">
        <v>0</v>
      </c>
      <c r="P221" s="58">
        <f t="shared" si="26"/>
        <v>0</v>
      </c>
      <c r="Q221">
        <v>3</v>
      </c>
      <c r="R221" s="58">
        <f t="shared" si="27"/>
        <v>1</v>
      </c>
      <c r="S221" s="58">
        <f t="shared" si="28"/>
        <v>0</v>
      </c>
      <c r="T221" s="58">
        <f t="shared" si="29"/>
        <v>0</v>
      </c>
      <c r="U221" s="58">
        <f t="shared" si="30"/>
        <v>1</v>
      </c>
      <c r="V221" s="58">
        <f t="shared" si="31"/>
        <v>0</v>
      </c>
    </row>
    <row r="222" spans="1:22">
      <c r="A222" s="6" t="s">
        <v>438</v>
      </c>
      <c r="B222">
        <v>0</v>
      </c>
      <c r="C222" s="16">
        <f t="shared" si="24"/>
        <v>0</v>
      </c>
      <c r="E222" s="6" t="s">
        <v>230</v>
      </c>
      <c r="F222" s="6" t="s">
        <v>229</v>
      </c>
      <c r="G222" s="8">
        <v>6</v>
      </c>
      <c r="H222" s="16">
        <f t="shared" si="25"/>
        <v>1</v>
      </c>
      <c r="N222" s="6" t="s">
        <v>438</v>
      </c>
      <c r="O222" s="58">
        <v>0</v>
      </c>
      <c r="P222" s="58">
        <f t="shared" si="26"/>
        <v>0</v>
      </c>
      <c r="Q222">
        <v>8</v>
      </c>
      <c r="R222" s="58">
        <f t="shared" si="27"/>
        <v>1</v>
      </c>
      <c r="S222" s="58">
        <f t="shared" si="28"/>
        <v>0</v>
      </c>
      <c r="T222" s="58">
        <f t="shared" si="29"/>
        <v>0</v>
      </c>
      <c r="U222" s="58">
        <f t="shared" si="30"/>
        <v>1</v>
      </c>
      <c r="V222" s="58">
        <f t="shared" si="31"/>
        <v>0</v>
      </c>
    </row>
    <row r="223" spans="1:22">
      <c r="A223" s="6" t="s">
        <v>439</v>
      </c>
      <c r="B223">
        <v>0</v>
      </c>
      <c r="C223" s="16">
        <f t="shared" si="24"/>
        <v>0</v>
      </c>
      <c r="E223" s="6" t="s">
        <v>231</v>
      </c>
      <c r="F223" s="6" t="s">
        <v>232</v>
      </c>
      <c r="G223" s="8">
        <v>0</v>
      </c>
      <c r="H223" s="16">
        <f t="shared" si="25"/>
        <v>0</v>
      </c>
      <c r="N223" s="6" t="s">
        <v>439</v>
      </c>
      <c r="O223" s="58">
        <v>0</v>
      </c>
      <c r="P223" s="58">
        <f t="shared" si="26"/>
        <v>0</v>
      </c>
      <c r="Q223">
        <v>0</v>
      </c>
      <c r="R223" s="58">
        <f t="shared" si="27"/>
        <v>0</v>
      </c>
      <c r="S223" s="58">
        <f t="shared" si="28"/>
        <v>1</v>
      </c>
      <c r="T223" s="58">
        <f t="shared" si="29"/>
        <v>0</v>
      </c>
      <c r="U223" s="58">
        <f t="shared" si="30"/>
        <v>0</v>
      </c>
      <c r="V223" s="58">
        <f t="shared" si="31"/>
        <v>0</v>
      </c>
    </row>
    <row r="224" spans="1:22">
      <c r="A224" s="6" t="s">
        <v>440</v>
      </c>
      <c r="B224">
        <v>0</v>
      </c>
      <c r="C224" s="16">
        <f t="shared" si="24"/>
        <v>0</v>
      </c>
      <c r="E224" s="6" t="s">
        <v>231</v>
      </c>
      <c r="F224" s="6" t="s">
        <v>233</v>
      </c>
      <c r="G224" s="8">
        <v>0</v>
      </c>
      <c r="H224" s="16">
        <f t="shared" si="25"/>
        <v>0</v>
      </c>
      <c r="N224" s="6" t="s">
        <v>440</v>
      </c>
      <c r="O224" s="58">
        <v>0</v>
      </c>
      <c r="P224" s="58">
        <f t="shared" si="26"/>
        <v>0</v>
      </c>
      <c r="Q224">
        <v>4</v>
      </c>
      <c r="R224" s="58">
        <f t="shared" si="27"/>
        <v>1</v>
      </c>
      <c r="S224" s="58">
        <f t="shared" si="28"/>
        <v>0</v>
      </c>
      <c r="T224" s="58">
        <f t="shared" si="29"/>
        <v>0</v>
      </c>
      <c r="U224" s="58">
        <f t="shared" si="30"/>
        <v>1</v>
      </c>
      <c r="V224" s="58">
        <f t="shared" si="31"/>
        <v>0</v>
      </c>
    </row>
    <row r="225" spans="1:22">
      <c r="A225" s="6" t="s">
        <v>441</v>
      </c>
      <c r="B225">
        <v>0</v>
      </c>
      <c r="C225" s="16">
        <f t="shared" si="24"/>
        <v>0</v>
      </c>
      <c r="E225" s="6" t="s">
        <v>234</v>
      </c>
      <c r="F225" s="6" t="s">
        <v>232</v>
      </c>
      <c r="G225" s="8">
        <v>0</v>
      </c>
      <c r="H225" s="16">
        <f t="shared" si="25"/>
        <v>0</v>
      </c>
      <c r="N225" s="6" t="s">
        <v>441</v>
      </c>
      <c r="O225" s="58">
        <v>0</v>
      </c>
      <c r="P225" s="58">
        <f t="shared" si="26"/>
        <v>0</v>
      </c>
      <c r="Q225">
        <v>0</v>
      </c>
      <c r="R225" s="58">
        <f t="shared" si="27"/>
        <v>0</v>
      </c>
      <c r="S225" s="58">
        <f t="shared" si="28"/>
        <v>1</v>
      </c>
      <c r="T225" s="58">
        <f t="shared" si="29"/>
        <v>0</v>
      </c>
      <c r="U225" s="58">
        <f t="shared" si="30"/>
        <v>0</v>
      </c>
      <c r="V225" s="58">
        <f t="shared" si="31"/>
        <v>0</v>
      </c>
    </row>
    <row r="226" spans="1:22">
      <c r="A226" s="6" t="s">
        <v>443</v>
      </c>
      <c r="B226">
        <v>0</v>
      </c>
      <c r="C226" s="16">
        <f t="shared" si="24"/>
        <v>0</v>
      </c>
      <c r="E226" s="6" t="s">
        <v>235</v>
      </c>
      <c r="F226" s="6" t="s">
        <v>232</v>
      </c>
      <c r="G226" s="8">
        <v>0</v>
      </c>
      <c r="H226" s="16">
        <f t="shared" si="25"/>
        <v>0</v>
      </c>
      <c r="N226" s="6" t="s">
        <v>443</v>
      </c>
      <c r="O226" s="58">
        <v>0</v>
      </c>
      <c r="P226" s="58">
        <f t="shared" si="26"/>
        <v>0</v>
      </c>
      <c r="Q226">
        <v>370</v>
      </c>
      <c r="R226" s="58">
        <f t="shared" si="27"/>
        <v>1</v>
      </c>
      <c r="S226" s="58">
        <f t="shared" si="28"/>
        <v>0</v>
      </c>
      <c r="T226" s="58">
        <f t="shared" si="29"/>
        <v>0</v>
      </c>
      <c r="U226" s="58">
        <f t="shared" si="30"/>
        <v>1</v>
      </c>
      <c r="V226" s="58">
        <f t="shared" si="31"/>
        <v>0</v>
      </c>
    </row>
    <row r="227" spans="1:22">
      <c r="E227" s="6" t="s">
        <v>235</v>
      </c>
      <c r="F227" s="6" t="s">
        <v>233</v>
      </c>
      <c r="G227" s="8">
        <v>0</v>
      </c>
      <c r="H227" s="16">
        <f t="shared" si="25"/>
        <v>0</v>
      </c>
    </row>
    <row r="228" spans="1:22">
      <c r="E228" s="6" t="s">
        <v>236</v>
      </c>
      <c r="F228" s="6" t="s">
        <v>232</v>
      </c>
      <c r="G228" s="8">
        <v>0</v>
      </c>
      <c r="H228" s="16">
        <f t="shared" si="25"/>
        <v>0</v>
      </c>
    </row>
    <row r="229" spans="1:22">
      <c r="E229" s="6" t="s">
        <v>237</v>
      </c>
      <c r="F229" s="6" t="s">
        <v>232</v>
      </c>
      <c r="G229" s="8">
        <v>0</v>
      </c>
      <c r="H229" s="16">
        <f t="shared" si="25"/>
        <v>0</v>
      </c>
    </row>
    <row r="230" spans="1:22">
      <c r="E230" s="6" t="s">
        <v>237</v>
      </c>
      <c r="F230" s="6" t="s">
        <v>233</v>
      </c>
      <c r="G230" s="8">
        <v>0</v>
      </c>
      <c r="H230" s="16">
        <f t="shared" si="25"/>
        <v>0</v>
      </c>
    </row>
    <row r="231" spans="1:22">
      <c r="E231" s="6" t="s">
        <v>238</v>
      </c>
      <c r="F231" s="6" t="s">
        <v>232</v>
      </c>
      <c r="G231" s="8">
        <v>0</v>
      </c>
      <c r="H231" s="16">
        <f t="shared" si="25"/>
        <v>0</v>
      </c>
    </row>
    <row r="232" spans="1:22">
      <c r="E232" s="6" t="s">
        <v>238</v>
      </c>
      <c r="F232" s="6" t="s">
        <v>233</v>
      </c>
      <c r="G232" s="8">
        <v>0</v>
      </c>
      <c r="H232" s="16">
        <f t="shared" si="25"/>
        <v>0</v>
      </c>
    </row>
    <row r="233" spans="1:22">
      <c r="E233" s="6" t="s">
        <v>238</v>
      </c>
      <c r="F233" s="6" t="s">
        <v>239</v>
      </c>
      <c r="G233" s="8">
        <v>0</v>
      </c>
      <c r="H233" s="16">
        <f t="shared" si="25"/>
        <v>0</v>
      </c>
    </row>
    <row r="234" spans="1:22">
      <c r="E234" s="6" t="s">
        <v>240</v>
      </c>
      <c r="F234" s="6" t="s">
        <v>241</v>
      </c>
      <c r="G234" s="8">
        <v>0</v>
      </c>
      <c r="H234" s="16">
        <f t="shared" si="25"/>
        <v>0</v>
      </c>
    </row>
    <row r="235" spans="1:22">
      <c r="E235" s="6" t="s">
        <v>240</v>
      </c>
      <c r="F235" s="6" t="s">
        <v>242</v>
      </c>
      <c r="G235" s="8">
        <v>0</v>
      </c>
      <c r="H235" s="16">
        <f t="shared" si="25"/>
        <v>0</v>
      </c>
    </row>
    <row r="236" spans="1:22">
      <c r="E236" s="6" t="s">
        <v>240</v>
      </c>
      <c r="F236" s="6" t="s">
        <v>243</v>
      </c>
      <c r="G236" s="8">
        <v>0</v>
      </c>
      <c r="H236" s="16">
        <f t="shared" si="25"/>
        <v>0</v>
      </c>
    </row>
    <row r="237" spans="1:22">
      <c r="E237" s="6" t="s">
        <v>240</v>
      </c>
      <c r="F237" s="6" t="s">
        <v>244</v>
      </c>
      <c r="G237" s="8">
        <v>0</v>
      </c>
      <c r="H237" s="16">
        <f t="shared" si="25"/>
        <v>0</v>
      </c>
    </row>
    <row r="238" spans="1:22">
      <c r="E238" s="6" t="s">
        <v>245</v>
      </c>
      <c r="F238" s="6" t="s">
        <v>246</v>
      </c>
      <c r="G238" s="8">
        <v>0</v>
      </c>
      <c r="H238" s="16">
        <f t="shared" si="25"/>
        <v>0</v>
      </c>
    </row>
    <row r="239" spans="1:22">
      <c r="E239" s="6" t="s">
        <v>247</v>
      </c>
      <c r="F239" s="6" t="s">
        <v>248</v>
      </c>
      <c r="G239" s="8">
        <v>0</v>
      </c>
      <c r="H239" s="16">
        <f t="shared" si="25"/>
        <v>0</v>
      </c>
    </row>
    <row r="240" spans="1:22">
      <c r="E240" s="6" t="s">
        <v>249</v>
      </c>
      <c r="F240" s="6" t="s">
        <v>250</v>
      </c>
      <c r="G240" s="8">
        <v>1</v>
      </c>
      <c r="H240" s="16">
        <f t="shared" si="25"/>
        <v>1</v>
      </c>
    </row>
    <row r="241" spans="5:8">
      <c r="E241" s="6" t="s">
        <v>249</v>
      </c>
      <c r="F241" s="6" t="s">
        <v>251</v>
      </c>
      <c r="G241" s="8">
        <v>0</v>
      </c>
      <c r="H241" s="16">
        <f t="shared" si="25"/>
        <v>0</v>
      </c>
    </row>
    <row r="242" spans="5:8">
      <c r="E242" s="6" t="s">
        <v>252</v>
      </c>
      <c r="F242" s="6" t="s">
        <v>253</v>
      </c>
      <c r="G242" s="8">
        <v>1</v>
      </c>
      <c r="H242" s="16">
        <f t="shared" si="25"/>
        <v>1</v>
      </c>
    </row>
    <row r="243" spans="5:8">
      <c r="E243" s="6" t="s">
        <v>252</v>
      </c>
      <c r="F243" s="6" t="s">
        <v>251</v>
      </c>
      <c r="G243" s="8">
        <v>0</v>
      </c>
      <c r="H243" s="16">
        <f t="shared" si="25"/>
        <v>0</v>
      </c>
    </row>
    <row r="244" spans="5:8">
      <c r="E244" s="6" t="s">
        <v>254</v>
      </c>
      <c r="F244" s="6" t="s">
        <v>255</v>
      </c>
      <c r="G244" s="8">
        <v>0</v>
      </c>
      <c r="H244" s="16">
        <f t="shared" si="25"/>
        <v>0</v>
      </c>
    </row>
    <row r="245" spans="5:8">
      <c r="E245" s="6" t="s">
        <v>256</v>
      </c>
      <c r="F245" s="6" t="s">
        <v>257</v>
      </c>
      <c r="G245" s="8">
        <v>0</v>
      </c>
      <c r="H245" s="16">
        <f t="shared" si="25"/>
        <v>0</v>
      </c>
    </row>
    <row r="246" spans="5:8">
      <c r="E246" s="6" t="s">
        <v>258</v>
      </c>
      <c r="F246" s="6" t="s">
        <v>229</v>
      </c>
      <c r="G246" s="8">
        <v>15</v>
      </c>
      <c r="H246" s="16">
        <f t="shared" si="25"/>
        <v>1</v>
      </c>
    </row>
    <row r="247" spans="5:8">
      <c r="E247" s="6" t="s">
        <v>259</v>
      </c>
      <c r="F247" s="6" t="s">
        <v>229</v>
      </c>
      <c r="G247" s="8">
        <v>6</v>
      </c>
      <c r="H247" s="16">
        <f t="shared" si="25"/>
        <v>1</v>
      </c>
    </row>
    <row r="248" spans="5:8">
      <c r="E248" s="6" t="s">
        <v>260</v>
      </c>
      <c r="F248" s="6" t="s">
        <v>261</v>
      </c>
      <c r="G248" s="8">
        <v>0</v>
      </c>
      <c r="H248" s="16">
        <f t="shared" si="25"/>
        <v>0</v>
      </c>
    </row>
    <row r="249" spans="5:8">
      <c r="E249" s="6" t="s">
        <v>260</v>
      </c>
      <c r="F249" s="6" t="s">
        <v>262</v>
      </c>
      <c r="G249" s="8">
        <v>0</v>
      </c>
      <c r="H249" s="16">
        <f t="shared" si="25"/>
        <v>0</v>
      </c>
    </row>
    <row r="250" spans="5:8">
      <c r="E250" s="6" t="s">
        <v>263</v>
      </c>
      <c r="F250" s="6" t="s">
        <v>160</v>
      </c>
      <c r="G250" s="8">
        <v>0</v>
      </c>
      <c r="H250" s="16">
        <f t="shared" si="25"/>
        <v>0</v>
      </c>
    </row>
    <row r="251" spans="5:8">
      <c r="E251" s="6" t="s">
        <v>263</v>
      </c>
      <c r="F251" s="6" t="s">
        <v>264</v>
      </c>
      <c r="G251" s="8">
        <v>0</v>
      </c>
      <c r="H251" s="16">
        <f t="shared" si="25"/>
        <v>0</v>
      </c>
    </row>
    <row r="252" spans="5:8">
      <c r="E252" s="6" t="s">
        <v>263</v>
      </c>
      <c r="F252" s="6" t="s">
        <v>265</v>
      </c>
      <c r="G252" s="8">
        <v>0</v>
      </c>
      <c r="H252" s="16">
        <f t="shared" si="25"/>
        <v>0</v>
      </c>
    </row>
    <row r="253" spans="5:8">
      <c r="E253" s="6" t="s">
        <v>263</v>
      </c>
      <c r="F253" s="6" t="s">
        <v>266</v>
      </c>
      <c r="G253" s="8">
        <v>0</v>
      </c>
      <c r="H253" s="16">
        <f t="shared" si="25"/>
        <v>0</v>
      </c>
    </row>
    <row r="254" spans="5:8">
      <c r="E254" s="6" t="s">
        <v>263</v>
      </c>
      <c r="F254" s="6" t="s">
        <v>112</v>
      </c>
      <c r="G254" s="8">
        <v>0</v>
      </c>
      <c r="H254" s="16">
        <f t="shared" si="25"/>
        <v>0</v>
      </c>
    </row>
    <row r="255" spans="5:8">
      <c r="E255" s="6" t="s">
        <v>263</v>
      </c>
      <c r="F255" s="6" t="s">
        <v>267</v>
      </c>
      <c r="G255" s="8">
        <v>0</v>
      </c>
      <c r="H255" s="16">
        <f t="shared" si="25"/>
        <v>0</v>
      </c>
    </row>
    <row r="256" spans="5:8">
      <c r="E256" s="6" t="s">
        <v>263</v>
      </c>
      <c r="F256" s="6" t="s">
        <v>268</v>
      </c>
      <c r="G256" s="8">
        <v>0</v>
      </c>
      <c r="H256" s="16">
        <f t="shared" si="25"/>
        <v>0</v>
      </c>
    </row>
    <row r="257" spans="5:8">
      <c r="E257" s="6" t="s">
        <v>263</v>
      </c>
      <c r="F257" s="6" t="s">
        <v>269</v>
      </c>
      <c r="G257" s="8">
        <v>0</v>
      </c>
      <c r="H257" s="16">
        <f t="shared" si="25"/>
        <v>0</v>
      </c>
    </row>
    <row r="258" spans="5:8">
      <c r="E258" s="6" t="s">
        <v>263</v>
      </c>
      <c r="F258" s="6" t="s">
        <v>270</v>
      </c>
      <c r="G258" s="8">
        <v>5</v>
      </c>
      <c r="H258" s="16">
        <f t="shared" si="25"/>
        <v>1</v>
      </c>
    </row>
    <row r="259" spans="5:8">
      <c r="E259" s="6" t="s">
        <v>263</v>
      </c>
      <c r="F259" s="6" t="s">
        <v>271</v>
      </c>
      <c r="G259" s="8">
        <v>0</v>
      </c>
      <c r="H259" s="16">
        <f t="shared" ref="H259:H322" si="32">IF(G259=0,0,1)</f>
        <v>0</v>
      </c>
    </row>
    <row r="260" spans="5:8">
      <c r="E260" s="6" t="s">
        <v>263</v>
      </c>
      <c r="F260" s="6" t="s">
        <v>272</v>
      </c>
      <c r="G260" s="8">
        <v>0</v>
      </c>
      <c r="H260" s="16">
        <f t="shared" si="32"/>
        <v>0</v>
      </c>
    </row>
    <row r="261" spans="5:8">
      <c r="E261" s="6" t="s">
        <v>263</v>
      </c>
      <c r="F261" s="6" t="s">
        <v>273</v>
      </c>
      <c r="G261" s="8">
        <v>0</v>
      </c>
      <c r="H261" s="16">
        <f t="shared" si="32"/>
        <v>0</v>
      </c>
    </row>
    <row r="262" spans="5:8">
      <c r="E262" s="6" t="s">
        <v>263</v>
      </c>
      <c r="F262" s="6" t="s">
        <v>132</v>
      </c>
      <c r="G262" s="8">
        <v>0</v>
      </c>
      <c r="H262" s="16">
        <f t="shared" si="32"/>
        <v>0</v>
      </c>
    </row>
    <row r="263" spans="5:8">
      <c r="E263" s="6" t="s">
        <v>263</v>
      </c>
      <c r="F263" s="6" t="s">
        <v>261</v>
      </c>
      <c r="G263" s="8">
        <v>0</v>
      </c>
      <c r="H263" s="16">
        <f t="shared" si="32"/>
        <v>0</v>
      </c>
    </row>
    <row r="264" spans="5:8">
      <c r="E264" s="6" t="s">
        <v>263</v>
      </c>
      <c r="F264" s="6" t="s">
        <v>262</v>
      </c>
      <c r="G264" s="8">
        <v>0</v>
      </c>
      <c r="H264" s="16">
        <f t="shared" si="32"/>
        <v>0</v>
      </c>
    </row>
    <row r="265" spans="5:8">
      <c r="E265" s="6" t="s">
        <v>274</v>
      </c>
      <c r="F265" s="6" t="s">
        <v>269</v>
      </c>
      <c r="G265" s="8">
        <v>0</v>
      </c>
      <c r="H265" s="16">
        <f t="shared" si="32"/>
        <v>0</v>
      </c>
    </row>
    <row r="266" spans="5:8">
      <c r="E266" s="6" t="s">
        <v>274</v>
      </c>
      <c r="F266" s="6" t="s">
        <v>270</v>
      </c>
      <c r="G266" s="8">
        <v>0</v>
      </c>
      <c r="H266" s="16">
        <f t="shared" si="32"/>
        <v>0</v>
      </c>
    </row>
    <row r="267" spans="5:8">
      <c r="E267" s="6" t="s">
        <v>274</v>
      </c>
      <c r="F267" s="6" t="s">
        <v>271</v>
      </c>
      <c r="G267" s="8">
        <v>0</v>
      </c>
      <c r="H267" s="16">
        <f t="shared" si="32"/>
        <v>0</v>
      </c>
    </row>
    <row r="268" spans="5:8">
      <c r="E268" s="6" t="s">
        <v>274</v>
      </c>
      <c r="F268" s="6" t="s">
        <v>272</v>
      </c>
      <c r="G268" s="8">
        <v>0</v>
      </c>
      <c r="H268" s="16">
        <f t="shared" si="32"/>
        <v>0</v>
      </c>
    </row>
    <row r="269" spans="5:8">
      <c r="E269" s="6" t="s">
        <v>274</v>
      </c>
      <c r="F269" s="6" t="s">
        <v>273</v>
      </c>
      <c r="G269" s="8">
        <v>0</v>
      </c>
      <c r="H269" s="16">
        <f t="shared" si="32"/>
        <v>0</v>
      </c>
    </row>
    <row r="270" spans="5:8">
      <c r="E270" s="6" t="s">
        <v>274</v>
      </c>
      <c r="F270" s="6" t="s">
        <v>132</v>
      </c>
      <c r="G270" s="8">
        <v>0</v>
      </c>
      <c r="H270" s="16">
        <f t="shared" si="32"/>
        <v>0</v>
      </c>
    </row>
    <row r="271" spans="5:8">
      <c r="E271" s="6" t="s">
        <v>274</v>
      </c>
      <c r="F271" s="6" t="s">
        <v>261</v>
      </c>
      <c r="G271" s="8">
        <v>0</v>
      </c>
      <c r="H271" s="16">
        <f t="shared" si="32"/>
        <v>0</v>
      </c>
    </row>
    <row r="272" spans="5:8">
      <c r="E272" s="6" t="s">
        <v>274</v>
      </c>
      <c r="F272" s="6" t="s">
        <v>262</v>
      </c>
      <c r="G272" s="8">
        <v>0</v>
      </c>
      <c r="H272" s="16">
        <f t="shared" si="32"/>
        <v>0</v>
      </c>
    </row>
    <row r="273" spans="5:8">
      <c r="E273" s="6" t="s">
        <v>275</v>
      </c>
      <c r="F273" s="6" t="s">
        <v>112</v>
      </c>
      <c r="G273" s="8">
        <v>0</v>
      </c>
      <c r="H273" s="16">
        <f t="shared" si="32"/>
        <v>0</v>
      </c>
    </row>
    <row r="274" spans="5:8">
      <c r="E274" s="6" t="s">
        <v>275</v>
      </c>
      <c r="F274" s="6" t="s">
        <v>267</v>
      </c>
      <c r="G274" s="8">
        <v>0</v>
      </c>
      <c r="H274" s="16">
        <f t="shared" si="32"/>
        <v>0</v>
      </c>
    </row>
    <row r="275" spans="5:8">
      <c r="E275" s="6" t="s">
        <v>275</v>
      </c>
      <c r="F275" s="6" t="s">
        <v>268</v>
      </c>
      <c r="G275" s="8">
        <v>0</v>
      </c>
      <c r="H275" s="16">
        <f t="shared" si="32"/>
        <v>0</v>
      </c>
    </row>
    <row r="276" spans="5:8">
      <c r="E276" s="6" t="s">
        <v>275</v>
      </c>
      <c r="F276" s="6" t="s">
        <v>269</v>
      </c>
      <c r="G276" s="8">
        <v>0</v>
      </c>
      <c r="H276" s="16">
        <f t="shared" si="32"/>
        <v>0</v>
      </c>
    </row>
    <row r="277" spans="5:8">
      <c r="E277" s="6" t="s">
        <v>275</v>
      </c>
      <c r="F277" s="6" t="s">
        <v>270</v>
      </c>
      <c r="G277" s="8">
        <v>0</v>
      </c>
      <c r="H277" s="16">
        <f t="shared" si="32"/>
        <v>0</v>
      </c>
    </row>
    <row r="278" spans="5:8">
      <c r="E278" s="6" t="s">
        <v>275</v>
      </c>
      <c r="F278" s="6" t="s">
        <v>271</v>
      </c>
      <c r="G278" s="8">
        <v>0</v>
      </c>
      <c r="H278" s="16">
        <f t="shared" si="32"/>
        <v>0</v>
      </c>
    </row>
    <row r="279" spans="5:8">
      <c r="E279" s="6" t="s">
        <v>275</v>
      </c>
      <c r="F279" s="6" t="s">
        <v>272</v>
      </c>
      <c r="G279" s="8">
        <v>0</v>
      </c>
      <c r="H279" s="16">
        <f t="shared" si="32"/>
        <v>0</v>
      </c>
    </row>
    <row r="280" spans="5:8">
      <c r="E280" s="6" t="s">
        <v>275</v>
      </c>
      <c r="F280" s="6" t="s">
        <v>273</v>
      </c>
      <c r="G280" s="8">
        <v>0</v>
      </c>
      <c r="H280" s="16">
        <f t="shared" si="32"/>
        <v>0</v>
      </c>
    </row>
    <row r="281" spans="5:8">
      <c r="E281" s="6" t="s">
        <v>275</v>
      </c>
      <c r="F281" s="6" t="s">
        <v>132</v>
      </c>
      <c r="G281" s="8">
        <v>5</v>
      </c>
      <c r="H281" s="16">
        <f t="shared" si="32"/>
        <v>1</v>
      </c>
    </row>
    <row r="282" spans="5:8">
      <c r="E282" s="6" t="s">
        <v>275</v>
      </c>
      <c r="F282" s="6" t="s">
        <v>261</v>
      </c>
      <c r="G282" s="8">
        <v>0</v>
      </c>
      <c r="H282" s="16">
        <f t="shared" si="32"/>
        <v>0</v>
      </c>
    </row>
    <row r="283" spans="5:8">
      <c r="E283" s="6" t="s">
        <v>275</v>
      </c>
      <c r="F283" s="6" t="s">
        <v>262</v>
      </c>
      <c r="G283" s="8">
        <v>0</v>
      </c>
      <c r="H283" s="16">
        <f t="shared" si="32"/>
        <v>0</v>
      </c>
    </row>
    <row r="284" spans="5:8">
      <c r="E284" s="6" t="s">
        <v>276</v>
      </c>
      <c r="F284" s="6" t="s">
        <v>269</v>
      </c>
      <c r="G284" s="8">
        <v>0</v>
      </c>
      <c r="H284" s="16">
        <f t="shared" si="32"/>
        <v>0</v>
      </c>
    </row>
    <row r="285" spans="5:8">
      <c r="E285" s="6" t="s">
        <v>276</v>
      </c>
      <c r="F285" s="6" t="s">
        <v>270</v>
      </c>
      <c r="G285" s="8">
        <v>0</v>
      </c>
      <c r="H285" s="16">
        <f t="shared" si="32"/>
        <v>0</v>
      </c>
    </row>
    <row r="286" spans="5:8">
      <c r="E286" s="6" t="s">
        <v>276</v>
      </c>
      <c r="F286" s="6" t="s">
        <v>271</v>
      </c>
      <c r="G286" s="8">
        <v>0</v>
      </c>
      <c r="H286" s="16">
        <f t="shared" si="32"/>
        <v>0</v>
      </c>
    </row>
    <row r="287" spans="5:8">
      <c r="E287" s="6" t="s">
        <v>276</v>
      </c>
      <c r="F287" s="6" t="s">
        <v>272</v>
      </c>
      <c r="G287" s="8">
        <v>0</v>
      </c>
      <c r="H287" s="16">
        <f t="shared" si="32"/>
        <v>0</v>
      </c>
    </row>
    <row r="288" spans="5:8">
      <c r="E288" s="6" t="s">
        <v>276</v>
      </c>
      <c r="F288" s="6" t="s">
        <v>132</v>
      </c>
      <c r="G288" s="8">
        <v>0</v>
      </c>
      <c r="H288" s="16">
        <f t="shared" si="32"/>
        <v>0</v>
      </c>
    </row>
    <row r="289" spans="5:8">
      <c r="E289" s="6" t="s">
        <v>276</v>
      </c>
      <c r="F289" s="6" t="s">
        <v>261</v>
      </c>
      <c r="G289" s="8">
        <v>0</v>
      </c>
      <c r="H289" s="16">
        <f t="shared" si="32"/>
        <v>0</v>
      </c>
    </row>
    <row r="290" spans="5:8">
      <c r="E290" s="6" t="s">
        <v>276</v>
      </c>
      <c r="F290" s="6" t="s">
        <v>262</v>
      </c>
      <c r="G290" s="8">
        <v>0</v>
      </c>
      <c r="H290" s="16">
        <f t="shared" si="32"/>
        <v>0</v>
      </c>
    </row>
    <row r="291" spans="5:8">
      <c r="E291" s="6" t="s">
        <v>277</v>
      </c>
      <c r="F291" s="6" t="s">
        <v>132</v>
      </c>
      <c r="G291" s="8">
        <v>5</v>
      </c>
      <c r="H291" s="16">
        <f t="shared" si="32"/>
        <v>1</v>
      </c>
    </row>
    <row r="292" spans="5:8">
      <c r="E292" s="6" t="s">
        <v>277</v>
      </c>
      <c r="F292" s="6" t="s">
        <v>261</v>
      </c>
      <c r="G292" s="8">
        <v>8</v>
      </c>
      <c r="H292" s="16">
        <f t="shared" si="32"/>
        <v>1</v>
      </c>
    </row>
    <row r="293" spans="5:8">
      <c r="E293" s="6" t="s">
        <v>277</v>
      </c>
      <c r="F293" s="6" t="s">
        <v>262</v>
      </c>
      <c r="G293" s="8">
        <v>0</v>
      </c>
      <c r="H293" s="16">
        <f t="shared" si="32"/>
        <v>0</v>
      </c>
    </row>
    <row r="294" spans="5:8">
      <c r="E294" s="6" t="s">
        <v>278</v>
      </c>
      <c r="F294" s="6" t="s">
        <v>279</v>
      </c>
      <c r="G294" s="8">
        <v>0</v>
      </c>
      <c r="H294" s="16">
        <f t="shared" si="32"/>
        <v>0</v>
      </c>
    </row>
    <row r="295" spans="5:8">
      <c r="E295" s="6" t="s">
        <v>278</v>
      </c>
      <c r="F295" s="6" t="s">
        <v>280</v>
      </c>
      <c r="G295" s="8">
        <v>0</v>
      </c>
      <c r="H295" s="16">
        <f t="shared" si="32"/>
        <v>0</v>
      </c>
    </row>
    <row r="296" spans="5:8">
      <c r="E296" s="6" t="s">
        <v>278</v>
      </c>
      <c r="F296" s="6" t="s">
        <v>281</v>
      </c>
      <c r="G296" s="8">
        <v>0</v>
      </c>
      <c r="H296" s="16">
        <f t="shared" si="32"/>
        <v>0</v>
      </c>
    </row>
    <row r="297" spans="5:8">
      <c r="E297" s="6" t="s">
        <v>278</v>
      </c>
      <c r="F297" s="6" t="s">
        <v>282</v>
      </c>
      <c r="G297" s="8">
        <v>0</v>
      </c>
      <c r="H297" s="16">
        <f t="shared" si="32"/>
        <v>0</v>
      </c>
    </row>
    <row r="298" spans="5:8">
      <c r="E298" s="6" t="s">
        <v>278</v>
      </c>
      <c r="F298" s="6" t="s">
        <v>283</v>
      </c>
      <c r="G298" s="8">
        <v>0</v>
      </c>
      <c r="H298" s="16">
        <f t="shared" si="32"/>
        <v>0</v>
      </c>
    </row>
    <row r="299" spans="5:8">
      <c r="E299" s="6" t="s">
        <v>278</v>
      </c>
      <c r="F299" s="6" t="s">
        <v>284</v>
      </c>
      <c r="G299" s="8">
        <v>0</v>
      </c>
      <c r="H299" s="16">
        <f t="shared" si="32"/>
        <v>0</v>
      </c>
    </row>
    <row r="300" spans="5:8">
      <c r="E300" s="6" t="s">
        <v>278</v>
      </c>
      <c r="F300" s="6" t="s">
        <v>160</v>
      </c>
      <c r="G300" s="8">
        <v>0</v>
      </c>
      <c r="H300" s="16">
        <f t="shared" si="32"/>
        <v>0</v>
      </c>
    </row>
    <row r="301" spans="5:8">
      <c r="E301" s="6" t="s">
        <v>278</v>
      </c>
      <c r="F301" s="6" t="s">
        <v>264</v>
      </c>
      <c r="G301" s="8">
        <v>0</v>
      </c>
      <c r="H301" s="16">
        <f t="shared" si="32"/>
        <v>0</v>
      </c>
    </row>
    <row r="302" spans="5:8">
      <c r="E302" s="6" t="s">
        <v>278</v>
      </c>
      <c r="F302" s="6" t="s">
        <v>265</v>
      </c>
      <c r="G302" s="8">
        <v>0</v>
      </c>
      <c r="H302" s="16">
        <f t="shared" si="32"/>
        <v>0</v>
      </c>
    </row>
    <row r="303" spans="5:8">
      <c r="E303" s="6" t="s">
        <v>278</v>
      </c>
      <c r="F303" s="6" t="s">
        <v>266</v>
      </c>
      <c r="G303" s="8">
        <v>0</v>
      </c>
      <c r="H303" s="16">
        <f t="shared" si="32"/>
        <v>0</v>
      </c>
    </row>
    <row r="304" spans="5:8">
      <c r="E304" s="6" t="s">
        <v>278</v>
      </c>
      <c r="F304" s="6" t="s">
        <v>112</v>
      </c>
      <c r="G304" s="8">
        <v>0</v>
      </c>
      <c r="H304" s="16">
        <f t="shared" si="32"/>
        <v>0</v>
      </c>
    </row>
    <row r="305" spans="5:8">
      <c r="E305" s="6" t="s">
        <v>278</v>
      </c>
      <c r="F305" s="6" t="s">
        <v>267</v>
      </c>
      <c r="G305" s="8">
        <v>0</v>
      </c>
      <c r="H305" s="16">
        <f t="shared" si="32"/>
        <v>0</v>
      </c>
    </row>
    <row r="306" spans="5:8">
      <c r="E306" s="6" t="s">
        <v>278</v>
      </c>
      <c r="F306" s="6" t="s">
        <v>268</v>
      </c>
      <c r="G306" s="8">
        <v>0</v>
      </c>
      <c r="H306" s="16">
        <f t="shared" si="32"/>
        <v>0</v>
      </c>
    </row>
    <row r="307" spans="5:8">
      <c r="E307" s="6" t="s">
        <v>278</v>
      </c>
      <c r="F307" s="6" t="s">
        <v>269</v>
      </c>
      <c r="G307" s="8">
        <v>0</v>
      </c>
      <c r="H307" s="16">
        <f t="shared" si="32"/>
        <v>0</v>
      </c>
    </row>
    <row r="308" spans="5:8">
      <c r="E308" s="6" t="s">
        <v>278</v>
      </c>
      <c r="F308" s="6" t="s">
        <v>270</v>
      </c>
      <c r="G308" s="8">
        <v>0</v>
      </c>
      <c r="H308" s="16">
        <f t="shared" si="32"/>
        <v>0</v>
      </c>
    </row>
    <row r="309" spans="5:8">
      <c r="E309" s="6" t="s">
        <v>278</v>
      </c>
      <c r="F309" s="6" t="s">
        <v>271</v>
      </c>
      <c r="G309" s="8">
        <v>0</v>
      </c>
      <c r="H309" s="16">
        <f t="shared" si="32"/>
        <v>0</v>
      </c>
    </row>
    <row r="310" spans="5:8">
      <c r="E310" s="6" t="s">
        <v>278</v>
      </c>
      <c r="F310" s="6" t="s">
        <v>272</v>
      </c>
      <c r="G310" s="8">
        <v>0</v>
      </c>
      <c r="H310" s="16">
        <f t="shared" si="32"/>
        <v>0</v>
      </c>
    </row>
    <row r="311" spans="5:8">
      <c r="E311" s="6" t="s">
        <v>278</v>
      </c>
      <c r="F311" s="6" t="s">
        <v>273</v>
      </c>
      <c r="G311" s="8">
        <v>0</v>
      </c>
      <c r="H311" s="16">
        <f t="shared" si="32"/>
        <v>0</v>
      </c>
    </row>
    <row r="312" spans="5:8">
      <c r="E312" s="6" t="s">
        <v>278</v>
      </c>
      <c r="F312" s="6" t="s">
        <v>132</v>
      </c>
      <c r="G312" s="8">
        <v>0</v>
      </c>
      <c r="H312" s="16">
        <f t="shared" si="32"/>
        <v>0</v>
      </c>
    </row>
    <row r="313" spans="5:8">
      <c r="E313" s="6" t="s">
        <v>278</v>
      </c>
      <c r="F313" s="6" t="s">
        <v>261</v>
      </c>
      <c r="G313" s="8">
        <v>0</v>
      </c>
      <c r="H313" s="16">
        <f t="shared" si="32"/>
        <v>0</v>
      </c>
    </row>
    <row r="314" spans="5:8">
      <c r="E314" s="6" t="s">
        <v>278</v>
      </c>
      <c r="F314" s="6" t="s">
        <v>262</v>
      </c>
      <c r="G314" s="8">
        <v>0</v>
      </c>
      <c r="H314" s="16">
        <f t="shared" si="32"/>
        <v>0</v>
      </c>
    </row>
    <row r="315" spans="5:8">
      <c r="E315" s="6" t="s">
        <v>285</v>
      </c>
      <c r="F315" s="6" t="s">
        <v>271</v>
      </c>
      <c r="G315" s="8">
        <v>0</v>
      </c>
      <c r="H315" s="16">
        <f t="shared" si="32"/>
        <v>0</v>
      </c>
    </row>
    <row r="316" spans="5:8">
      <c r="E316" s="6" t="s">
        <v>285</v>
      </c>
      <c r="F316" s="6" t="s">
        <v>272</v>
      </c>
      <c r="G316" s="8">
        <v>0</v>
      </c>
      <c r="H316" s="16">
        <f t="shared" si="32"/>
        <v>0</v>
      </c>
    </row>
    <row r="317" spans="5:8">
      <c r="E317" s="6" t="s">
        <v>285</v>
      </c>
      <c r="F317" s="6" t="s">
        <v>273</v>
      </c>
      <c r="G317" s="8">
        <v>0</v>
      </c>
      <c r="H317" s="16">
        <f t="shared" si="32"/>
        <v>0</v>
      </c>
    </row>
    <row r="318" spans="5:8">
      <c r="E318" s="6" t="s">
        <v>285</v>
      </c>
      <c r="F318" s="6" t="s">
        <v>132</v>
      </c>
      <c r="G318" s="8">
        <v>0</v>
      </c>
      <c r="H318" s="16">
        <f t="shared" si="32"/>
        <v>0</v>
      </c>
    </row>
    <row r="319" spans="5:8">
      <c r="E319" s="6" t="s">
        <v>285</v>
      </c>
      <c r="F319" s="6" t="s">
        <v>261</v>
      </c>
      <c r="G319" s="8">
        <v>0</v>
      </c>
      <c r="H319" s="16">
        <f t="shared" si="32"/>
        <v>0</v>
      </c>
    </row>
    <row r="320" spans="5:8">
      <c r="E320" s="6" t="s">
        <v>285</v>
      </c>
      <c r="F320" s="6" t="s">
        <v>262</v>
      </c>
      <c r="G320" s="8">
        <v>0</v>
      </c>
      <c r="H320" s="16">
        <f t="shared" si="32"/>
        <v>0</v>
      </c>
    </row>
    <row r="321" spans="5:8">
      <c r="E321" s="6" t="s">
        <v>286</v>
      </c>
      <c r="F321" s="6" t="s">
        <v>112</v>
      </c>
      <c r="G321" s="8">
        <v>0</v>
      </c>
      <c r="H321" s="16">
        <f t="shared" si="32"/>
        <v>0</v>
      </c>
    </row>
    <row r="322" spans="5:8">
      <c r="E322" s="6" t="s">
        <v>286</v>
      </c>
      <c r="F322" s="6" t="s">
        <v>267</v>
      </c>
      <c r="G322" s="8">
        <v>0</v>
      </c>
      <c r="H322" s="16">
        <f t="shared" si="32"/>
        <v>0</v>
      </c>
    </row>
    <row r="323" spans="5:8">
      <c r="E323" s="6" t="s">
        <v>286</v>
      </c>
      <c r="F323" s="6" t="s">
        <v>268</v>
      </c>
      <c r="G323" s="8">
        <v>0</v>
      </c>
      <c r="H323" s="16">
        <f t="shared" ref="H323:H386" si="33">IF(G323=0,0,1)</f>
        <v>0</v>
      </c>
    </row>
    <row r="324" spans="5:8">
      <c r="E324" s="6" t="s">
        <v>286</v>
      </c>
      <c r="F324" s="6" t="s">
        <v>269</v>
      </c>
      <c r="G324" s="8">
        <v>0</v>
      </c>
      <c r="H324" s="16">
        <f t="shared" si="33"/>
        <v>0</v>
      </c>
    </row>
    <row r="325" spans="5:8">
      <c r="E325" s="6" t="s">
        <v>286</v>
      </c>
      <c r="F325" s="6" t="s">
        <v>270</v>
      </c>
      <c r="G325" s="8">
        <v>5</v>
      </c>
      <c r="H325" s="16">
        <f t="shared" si="33"/>
        <v>1</v>
      </c>
    </row>
    <row r="326" spans="5:8">
      <c r="E326" s="6" t="s">
        <v>286</v>
      </c>
      <c r="F326" s="6" t="s">
        <v>271</v>
      </c>
      <c r="G326" s="8">
        <v>0</v>
      </c>
      <c r="H326" s="16">
        <f t="shared" si="33"/>
        <v>0</v>
      </c>
    </row>
    <row r="327" spans="5:8">
      <c r="E327" s="6" t="s">
        <v>286</v>
      </c>
      <c r="F327" s="6" t="s">
        <v>272</v>
      </c>
      <c r="G327" s="8">
        <v>0</v>
      </c>
      <c r="H327" s="16">
        <f t="shared" si="33"/>
        <v>0</v>
      </c>
    </row>
    <row r="328" spans="5:8">
      <c r="E328" s="6" t="s">
        <v>286</v>
      </c>
      <c r="F328" s="6" t="s">
        <v>273</v>
      </c>
      <c r="G328" s="8">
        <v>0</v>
      </c>
      <c r="H328" s="16">
        <f t="shared" si="33"/>
        <v>0</v>
      </c>
    </row>
    <row r="329" spans="5:8">
      <c r="E329" s="6" t="s">
        <v>286</v>
      </c>
      <c r="F329" s="6" t="s">
        <v>132</v>
      </c>
      <c r="G329" s="8">
        <v>0</v>
      </c>
      <c r="H329" s="16">
        <f t="shared" si="33"/>
        <v>0</v>
      </c>
    </row>
    <row r="330" spans="5:8">
      <c r="E330" s="6" t="s">
        <v>286</v>
      </c>
      <c r="F330" s="6" t="s">
        <v>261</v>
      </c>
      <c r="G330" s="8">
        <v>0</v>
      </c>
      <c r="H330" s="16">
        <f t="shared" si="33"/>
        <v>0</v>
      </c>
    </row>
    <row r="331" spans="5:8">
      <c r="E331" s="6" t="s">
        <v>286</v>
      </c>
      <c r="F331" s="6" t="s">
        <v>262</v>
      </c>
      <c r="G331" s="8">
        <v>0</v>
      </c>
      <c r="H331" s="16">
        <f t="shared" si="33"/>
        <v>0</v>
      </c>
    </row>
    <row r="332" spans="5:8">
      <c r="E332" s="6" t="s">
        <v>287</v>
      </c>
      <c r="F332" s="6" t="s">
        <v>283</v>
      </c>
      <c r="G332" s="8">
        <v>0</v>
      </c>
      <c r="H332" s="16">
        <f t="shared" si="33"/>
        <v>0</v>
      </c>
    </row>
    <row r="333" spans="5:8">
      <c r="E333" s="6" t="s">
        <v>287</v>
      </c>
      <c r="F333" s="6" t="s">
        <v>284</v>
      </c>
      <c r="G333" s="8">
        <v>0</v>
      </c>
      <c r="H333" s="16">
        <f t="shared" si="33"/>
        <v>0</v>
      </c>
    </row>
    <row r="334" spans="5:8">
      <c r="E334" s="6" t="s">
        <v>287</v>
      </c>
      <c r="F334" s="6" t="s">
        <v>160</v>
      </c>
      <c r="G334" s="8">
        <v>0</v>
      </c>
      <c r="H334" s="16">
        <f t="shared" si="33"/>
        <v>0</v>
      </c>
    </row>
    <row r="335" spans="5:8">
      <c r="E335" s="6" t="s">
        <v>287</v>
      </c>
      <c r="F335" s="6" t="s">
        <v>264</v>
      </c>
      <c r="G335" s="8">
        <v>0</v>
      </c>
      <c r="H335" s="16">
        <f t="shared" si="33"/>
        <v>0</v>
      </c>
    </row>
    <row r="336" spans="5:8">
      <c r="E336" s="6" t="s">
        <v>287</v>
      </c>
      <c r="F336" s="6" t="s">
        <v>265</v>
      </c>
      <c r="G336" s="8">
        <v>0</v>
      </c>
      <c r="H336" s="16">
        <f t="shared" si="33"/>
        <v>0</v>
      </c>
    </row>
    <row r="337" spans="5:8">
      <c r="E337" s="6" t="s">
        <v>287</v>
      </c>
      <c r="F337" s="6" t="s">
        <v>266</v>
      </c>
      <c r="G337" s="8">
        <v>0</v>
      </c>
      <c r="H337" s="16">
        <f t="shared" si="33"/>
        <v>0</v>
      </c>
    </row>
    <row r="338" spans="5:8">
      <c r="E338" s="6" t="s">
        <v>287</v>
      </c>
      <c r="F338" s="6" t="s">
        <v>112</v>
      </c>
      <c r="G338" s="8">
        <v>0</v>
      </c>
      <c r="H338" s="16">
        <f t="shared" si="33"/>
        <v>0</v>
      </c>
    </row>
    <row r="339" spans="5:8">
      <c r="E339" s="6" t="s">
        <v>287</v>
      </c>
      <c r="F339" s="6" t="s">
        <v>267</v>
      </c>
      <c r="G339" s="8">
        <v>0</v>
      </c>
      <c r="H339" s="16">
        <f t="shared" si="33"/>
        <v>0</v>
      </c>
    </row>
    <row r="340" spans="5:8">
      <c r="E340" s="6" t="s">
        <v>287</v>
      </c>
      <c r="F340" s="6" t="s">
        <v>268</v>
      </c>
      <c r="G340" s="8">
        <v>0</v>
      </c>
      <c r="H340" s="16">
        <f t="shared" si="33"/>
        <v>0</v>
      </c>
    </row>
    <row r="341" spans="5:8">
      <c r="E341" s="6" t="s">
        <v>287</v>
      </c>
      <c r="F341" s="6" t="s">
        <v>269</v>
      </c>
      <c r="G341" s="8">
        <v>0</v>
      </c>
      <c r="H341" s="16">
        <f t="shared" si="33"/>
        <v>0</v>
      </c>
    </row>
    <row r="342" spans="5:8">
      <c r="E342" s="6" t="s">
        <v>287</v>
      </c>
      <c r="F342" s="6" t="s">
        <v>270</v>
      </c>
      <c r="G342" s="8">
        <v>0</v>
      </c>
      <c r="H342" s="16">
        <f t="shared" si="33"/>
        <v>0</v>
      </c>
    </row>
    <row r="343" spans="5:8">
      <c r="E343" s="6" t="s">
        <v>287</v>
      </c>
      <c r="F343" s="6" t="s">
        <v>271</v>
      </c>
      <c r="G343" s="8">
        <v>0</v>
      </c>
      <c r="H343" s="16">
        <f t="shared" si="33"/>
        <v>0</v>
      </c>
    </row>
    <row r="344" spans="5:8">
      <c r="E344" s="6" t="s">
        <v>287</v>
      </c>
      <c r="F344" s="6" t="s">
        <v>272</v>
      </c>
      <c r="G344" s="8">
        <v>0</v>
      </c>
      <c r="H344" s="16">
        <f t="shared" si="33"/>
        <v>0</v>
      </c>
    </row>
    <row r="345" spans="5:8">
      <c r="E345" s="6" t="s">
        <v>287</v>
      </c>
      <c r="F345" s="6" t="s">
        <v>273</v>
      </c>
      <c r="G345" s="8">
        <v>0</v>
      </c>
      <c r="H345" s="16">
        <f t="shared" si="33"/>
        <v>0</v>
      </c>
    </row>
    <row r="346" spans="5:8">
      <c r="E346" s="6" t="s">
        <v>287</v>
      </c>
      <c r="F346" s="6" t="s">
        <v>132</v>
      </c>
      <c r="G346" s="8">
        <v>0</v>
      </c>
      <c r="H346" s="16">
        <f t="shared" si="33"/>
        <v>0</v>
      </c>
    </row>
    <row r="347" spans="5:8">
      <c r="E347" s="6" t="s">
        <v>287</v>
      </c>
      <c r="F347" s="6" t="s">
        <v>261</v>
      </c>
      <c r="G347" s="8">
        <v>0</v>
      </c>
      <c r="H347" s="16">
        <f t="shared" si="33"/>
        <v>0</v>
      </c>
    </row>
    <row r="348" spans="5:8">
      <c r="E348" s="6" t="s">
        <v>287</v>
      </c>
      <c r="F348" s="6" t="s">
        <v>262</v>
      </c>
      <c r="G348" s="8">
        <v>0</v>
      </c>
      <c r="H348" s="16">
        <f t="shared" si="33"/>
        <v>0</v>
      </c>
    </row>
    <row r="349" spans="5:8">
      <c r="E349" s="6" t="s">
        <v>288</v>
      </c>
      <c r="F349" s="6" t="s">
        <v>280</v>
      </c>
      <c r="G349" s="8">
        <v>0</v>
      </c>
      <c r="H349" s="16">
        <f t="shared" si="33"/>
        <v>0</v>
      </c>
    </row>
    <row r="350" spans="5:8">
      <c r="E350" s="6" t="s">
        <v>288</v>
      </c>
      <c r="F350" s="6" t="s">
        <v>289</v>
      </c>
      <c r="G350" s="8">
        <v>0</v>
      </c>
      <c r="H350" s="16">
        <f t="shared" si="33"/>
        <v>0</v>
      </c>
    </row>
    <row r="351" spans="5:8">
      <c r="E351" s="6" t="s">
        <v>288</v>
      </c>
      <c r="F351" s="6" t="s">
        <v>283</v>
      </c>
      <c r="G351" s="8">
        <v>0</v>
      </c>
      <c r="H351" s="16">
        <f t="shared" si="33"/>
        <v>0</v>
      </c>
    </row>
    <row r="352" spans="5:8">
      <c r="E352" s="6" t="s">
        <v>288</v>
      </c>
      <c r="F352" s="6" t="s">
        <v>160</v>
      </c>
      <c r="G352" s="8">
        <v>0</v>
      </c>
      <c r="H352" s="16">
        <f t="shared" si="33"/>
        <v>0</v>
      </c>
    </row>
    <row r="353" spans="5:8">
      <c r="E353" s="6" t="s">
        <v>288</v>
      </c>
      <c r="F353" s="6" t="s">
        <v>264</v>
      </c>
      <c r="G353" s="8">
        <v>0</v>
      </c>
      <c r="H353" s="16">
        <f t="shared" si="33"/>
        <v>0</v>
      </c>
    </row>
    <row r="354" spans="5:8">
      <c r="E354" s="6" t="s">
        <v>288</v>
      </c>
      <c r="F354" s="6" t="s">
        <v>265</v>
      </c>
      <c r="G354" s="8">
        <v>0</v>
      </c>
      <c r="H354" s="16">
        <f t="shared" si="33"/>
        <v>0</v>
      </c>
    </row>
    <row r="355" spans="5:8">
      <c r="E355" s="6" t="s">
        <v>288</v>
      </c>
      <c r="F355" s="6" t="s">
        <v>112</v>
      </c>
      <c r="G355" s="8">
        <v>0</v>
      </c>
      <c r="H355" s="16">
        <f t="shared" si="33"/>
        <v>0</v>
      </c>
    </row>
    <row r="356" spans="5:8">
      <c r="E356" s="6" t="s">
        <v>288</v>
      </c>
      <c r="F356" s="6" t="s">
        <v>267</v>
      </c>
      <c r="G356" s="8">
        <v>0</v>
      </c>
      <c r="H356" s="16">
        <f t="shared" si="33"/>
        <v>0</v>
      </c>
    </row>
    <row r="357" spans="5:8">
      <c r="E357" s="6" t="s">
        <v>288</v>
      </c>
      <c r="F357" s="6" t="s">
        <v>268</v>
      </c>
      <c r="G357" s="8">
        <v>0</v>
      </c>
      <c r="H357" s="16">
        <f t="shared" si="33"/>
        <v>0</v>
      </c>
    </row>
    <row r="358" spans="5:8">
      <c r="E358" s="6" t="s">
        <v>288</v>
      </c>
      <c r="F358" s="6" t="s">
        <v>269</v>
      </c>
      <c r="G358" s="8">
        <v>6</v>
      </c>
      <c r="H358" s="16">
        <f t="shared" si="33"/>
        <v>1</v>
      </c>
    </row>
    <row r="359" spans="5:8">
      <c r="E359" s="6" t="s">
        <v>288</v>
      </c>
      <c r="F359" s="6" t="s">
        <v>270</v>
      </c>
      <c r="G359" s="8">
        <v>0</v>
      </c>
      <c r="H359" s="16">
        <f t="shared" si="33"/>
        <v>0</v>
      </c>
    </row>
    <row r="360" spans="5:8">
      <c r="E360" s="6" t="s">
        <v>288</v>
      </c>
      <c r="F360" s="6" t="s">
        <v>271</v>
      </c>
      <c r="G360" s="8">
        <v>11</v>
      </c>
      <c r="H360" s="16">
        <f t="shared" si="33"/>
        <v>1</v>
      </c>
    </row>
    <row r="361" spans="5:8">
      <c r="E361" s="6" t="s">
        <v>288</v>
      </c>
      <c r="F361" s="6" t="s">
        <v>272</v>
      </c>
      <c r="G361" s="8">
        <v>0</v>
      </c>
      <c r="H361" s="16">
        <f t="shared" si="33"/>
        <v>0</v>
      </c>
    </row>
    <row r="362" spans="5:8">
      <c r="E362" s="6" t="s">
        <v>288</v>
      </c>
      <c r="F362" s="6" t="s">
        <v>273</v>
      </c>
      <c r="G362" s="8">
        <v>0</v>
      </c>
      <c r="H362" s="16">
        <f t="shared" si="33"/>
        <v>0</v>
      </c>
    </row>
    <row r="363" spans="5:8">
      <c r="E363" s="6" t="s">
        <v>288</v>
      </c>
      <c r="F363" s="6" t="s">
        <v>132</v>
      </c>
      <c r="G363" s="8">
        <v>0</v>
      </c>
      <c r="H363" s="16">
        <f t="shared" si="33"/>
        <v>0</v>
      </c>
    </row>
    <row r="364" spans="5:8">
      <c r="E364" s="6" t="s">
        <v>288</v>
      </c>
      <c r="F364" s="6" t="s">
        <v>261</v>
      </c>
      <c r="G364" s="8">
        <v>0</v>
      </c>
      <c r="H364" s="16">
        <f t="shared" si="33"/>
        <v>0</v>
      </c>
    </row>
    <row r="365" spans="5:8">
      <c r="E365" s="6" t="s">
        <v>288</v>
      </c>
      <c r="F365" s="6" t="s">
        <v>262</v>
      </c>
      <c r="G365" s="8">
        <v>0</v>
      </c>
      <c r="H365" s="16">
        <f t="shared" si="33"/>
        <v>0</v>
      </c>
    </row>
    <row r="366" spans="5:8">
      <c r="E366" s="6" t="s">
        <v>290</v>
      </c>
      <c r="F366" s="6" t="s">
        <v>112</v>
      </c>
      <c r="G366" s="8">
        <v>0</v>
      </c>
      <c r="H366" s="16">
        <f t="shared" si="33"/>
        <v>0</v>
      </c>
    </row>
    <row r="367" spans="5:8">
      <c r="E367" s="6" t="s">
        <v>290</v>
      </c>
      <c r="F367" s="6" t="s">
        <v>267</v>
      </c>
      <c r="G367" s="8">
        <v>0</v>
      </c>
      <c r="H367" s="16">
        <f t="shared" si="33"/>
        <v>0</v>
      </c>
    </row>
    <row r="368" spans="5:8">
      <c r="E368" s="6" t="s">
        <v>290</v>
      </c>
      <c r="F368" s="6" t="s">
        <v>268</v>
      </c>
      <c r="G368" s="8">
        <v>0</v>
      </c>
      <c r="H368" s="16">
        <f t="shared" si="33"/>
        <v>0</v>
      </c>
    </row>
    <row r="369" spans="5:8">
      <c r="E369" s="6" t="s">
        <v>290</v>
      </c>
      <c r="F369" s="6" t="s">
        <v>269</v>
      </c>
      <c r="G369" s="8">
        <v>0</v>
      </c>
      <c r="H369" s="16">
        <f t="shared" si="33"/>
        <v>0</v>
      </c>
    </row>
    <row r="370" spans="5:8">
      <c r="E370" s="6" t="s">
        <v>290</v>
      </c>
      <c r="F370" s="6" t="s">
        <v>270</v>
      </c>
      <c r="G370" s="8">
        <v>0</v>
      </c>
      <c r="H370" s="16">
        <f t="shared" si="33"/>
        <v>0</v>
      </c>
    </row>
    <row r="371" spans="5:8">
      <c r="E371" s="6" t="s">
        <v>290</v>
      </c>
      <c r="F371" s="6" t="s">
        <v>271</v>
      </c>
      <c r="G371" s="8">
        <v>0</v>
      </c>
      <c r="H371" s="16">
        <f t="shared" si="33"/>
        <v>0</v>
      </c>
    </row>
    <row r="372" spans="5:8">
      <c r="E372" s="6" t="s">
        <v>290</v>
      </c>
      <c r="F372" s="6" t="s">
        <v>272</v>
      </c>
      <c r="G372" s="8">
        <v>0</v>
      </c>
      <c r="H372" s="16">
        <f t="shared" si="33"/>
        <v>0</v>
      </c>
    </row>
    <row r="373" spans="5:8">
      <c r="E373" s="6" t="s">
        <v>290</v>
      </c>
      <c r="F373" s="6" t="s">
        <v>273</v>
      </c>
      <c r="G373" s="8">
        <v>0</v>
      </c>
      <c r="H373" s="16">
        <f t="shared" si="33"/>
        <v>0</v>
      </c>
    </row>
    <row r="374" spans="5:8">
      <c r="E374" s="6" t="s">
        <v>290</v>
      </c>
      <c r="F374" s="6" t="s">
        <v>132</v>
      </c>
      <c r="G374" s="8">
        <v>0</v>
      </c>
      <c r="H374" s="16">
        <f t="shared" si="33"/>
        <v>0</v>
      </c>
    </row>
    <row r="375" spans="5:8">
      <c r="E375" s="6" t="s">
        <v>290</v>
      </c>
      <c r="F375" s="6" t="s">
        <v>261</v>
      </c>
      <c r="G375" s="8">
        <v>0</v>
      </c>
      <c r="H375" s="16">
        <f t="shared" si="33"/>
        <v>0</v>
      </c>
    </row>
    <row r="376" spans="5:8">
      <c r="E376" s="6" t="s">
        <v>290</v>
      </c>
      <c r="F376" s="6" t="s">
        <v>262</v>
      </c>
      <c r="G376" s="8">
        <v>0</v>
      </c>
      <c r="H376" s="16">
        <f t="shared" si="33"/>
        <v>0</v>
      </c>
    </row>
    <row r="377" spans="5:8">
      <c r="E377" s="6" t="s">
        <v>291</v>
      </c>
      <c r="F377" s="6" t="s">
        <v>269</v>
      </c>
      <c r="G377" s="8">
        <v>0</v>
      </c>
      <c r="H377" s="16">
        <f t="shared" si="33"/>
        <v>0</v>
      </c>
    </row>
    <row r="378" spans="5:8">
      <c r="E378" s="6" t="s">
        <v>291</v>
      </c>
      <c r="F378" s="6" t="s">
        <v>270</v>
      </c>
      <c r="G378" s="8">
        <v>0</v>
      </c>
      <c r="H378" s="16">
        <f t="shared" si="33"/>
        <v>0</v>
      </c>
    </row>
    <row r="379" spans="5:8">
      <c r="E379" s="6" t="s">
        <v>291</v>
      </c>
      <c r="F379" s="6" t="s">
        <v>271</v>
      </c>
      <c r="G379" s="8">
        <v>0</v>
      </c>
      <c r="H379" s="16">
        <f t="shared" si="33"/>
        <v>0</v>
      </c>
    </row>
    <row r="380" spans="5:8">
      <c r="E380" s="6" t="s">
        <v>291</v>
      </c>
      <c r="F380" s="6" t="s">
        <v>272</v>
      </c>
      <c r="G380" s="8">
        <v>0</v>
      </c>
      <c r="H380" s="16">
        <f t="shared" si="33"/>
        <v>0</v>
      </c>
    </row>
    <row r="381" spans="5:8">
      <c r="E381" s="6" t="s">
        <v>291</v>
      </c>
      <c r="F381" s="6" t="s">
        <v>273</v>
      </c>
      <c r="G381" s="8">
        <v>0</v>
      </c>
      <c r="H381" s="16">
        <f t="shared" si="33"/>
        <v>0</v>
      </c>
    </row>
    <row r="382" spans="5:8">
      <c r="E382" s="6" t="s">
        <v>291</v>
      </c>
      <c r="F382" s="6" t="s">
        <v>132</v>
      </c>
      <c r="G382" s="8">
        <v>0</v>
      </c>
      <c r="H382" s="16">
        <f t="shared" si="33"/>
        <v>0</v>
      </c>
    </row>
    <row r="383" spans="5:8">
      <c r="E383" s="6" t="s">
        <v>291</v>
      </c>
      <c r="F383" s="6" t="s">
        <v>261</v>
      </c>
      <c r="G383" s="8">
        <v>0</v>
      </c>
      <c r="H383" s="16">
        <f t="shared" si="33"/>
        <v>0</v>
      </c>
    </row>
    <row r="384" spans="5:8">
      <c r="E384" s="6" t="s">
        <v>291</v>
      </c>
      <c r="F384" s="6" t="s">
        <v>262</v>
      </c>
      <c r="G384" s="8">
        <v>0</v>
      </c>
      <c r="H384" s="16">
        <f t="shared" si="33"/>
        <v>0</v>
      </c>
    </row>
    <row r="385" spans="5:8">
      <c r="E385" s="6" t="s">
        <v>292</v>
      </c>
      <c r="F385" s="6" t="s">
        <v>269</v>
      </c>
      <c r="G385" s="8">
        <v>0</v>
      </c>
      <c r="H385" s="16">
        <f t="shared" si="33"/>
        <v>0</v>
      </c>
    </row>
    <row r="386" spans="5:8">
      <c r="E386" s="6" t="s">
        <v>292</v>
      </c>
      <c r="F386" s="6" t="s">
        <v>270</v>
      </c>
      <c r="G386" s="8">
        <v>0</v>
      </c>
      <c r="H386" s="16">
        <f t="shared" si="33"/>
        <v>0</v>
      </c>
    </row>
    <row r="387" spans="5:8">
      <c r="E387" s="6" t="s">
        <v>292</v>
      </c>
      <c r="F387" s="6" t="s">
        <v>271</v>
      </c>
      <c r="G387" s="8">
        <v>0</v>
      </c>
      <c r="H387" s="16">
        <f t="shared" ref="H387:H450" si="34">IF(G387=0,0,1)</f>
        <v>0</v>
      </c>
    </row>
    <row r="388" spans="5:8">
      <c r="E388" s="6" t="s">
        <v>292</v>
      </c>
      <c r="F388" s="6" t="s">
        <v>272</v>
      </c>
      <c r="G388" s="8">
        <v>0</v>
      </c>
      <c r="H388" s="16">
        <f t="shared" si="34"/>
        <v>0</v>
      </c>
    </row>
    <row r="389" spans="5:8">
      <c r="E389" s="6" t="s">
        <v>292</v>
      </c>
      <c r="F389" s="6" t="s">
        <v>273</v>
      </c>
      <c r="G389" s="8">
        <v>0</v>
      </c>
      <c r="H389" s="16">
        <f t="shared" si="34"/>
        <v>0</v>
      </c>
    </row>
    <row r="390" spans="5:8">
      <c r="E390" s="6" t="s">
        <v>292</v>
      </c>
      <c r="F390" s="6" t="s">
        <v>132</v>
      </c>
      <c r="G390" s="8">
        <v>0</v>
      </c>
      <c r="H390" s="16">
        <f t="shared" si="34"/>
        <v>0</v>
      </c>
    </row>
    <row r="391" spans="5:8">
      <c r="E391" s="6" t="s">
        <v>292</v>
      </c>
      <c r="F391" s="6" t="s">
        <v>261</v>
      </c>
      <c r="G391" s="8">
        <v>0</v>
      </c>
      <c r="H391" s="16">
        <f t="shared" si="34"/>
        <v>0</v>
      </c>
    </row>
    <row r="392" spans="5:8">
      <c r="E392" s="6" t="s">
        <v>292</v>
      </c>
      <c r="F392" s="6" t="s">
        <v>262</v>
      </c>
      <c r="G392" s="8">
        <v>0</v>
      </c>
      <c r="H392" s="16">
        <f t="shared" si="34"/>
        <v>0</v>
      </c>
    </row>
    <row r="393" spans="5:8">
      <c r="E393" s="6" t="s">
        <v>293</v>
      </c>
      <c r="F393" s="6" t="s">
        <v>261</v>
      </c>
      <c r="G393" s="8">
        <v>0</v>
      </c>
      <c r="H393" s="16">
        <f t="shared" si="34"/>
        <v>0</v>
      </c>
    </row>
    <row r="394" spans="5:8">
      <c r="E394" s="6" t="s">
        <v>293</v>
      </c>
      <c r="F394" s="6" t="s">
        <v>262</v>
      </c>
      <c r="G394" s="8">
        <v>0</v>
      </c>
      <c r="H394" s="16">
        <f t="shared" si="34"/>
        <v>0</v>
      </c>
    </row>
    <row r="395" spans="5:8">
      <c r="E395" s="6" t="s">
        <v>294</v>
      </c>
      <c r="F395" s="6" t="s">
        <v>269</v>
      </c>
      <c r="G395" s="8">
        <v>0</v>
      </c>
      <c r="H395" s="16">
        <f t="shared" si="34"/>
        <v>0</v>
      </c>
    </row>
    <row r="396" spans="5:8">
      <c r="E396" s="6" t="s">
        <v>294</v>
      </c>
      <c r="F396" s="6" t="s">
        <v>270</v>
      </c>
      <c r="G396" s="8">
        <v>0</v>
      </c>
      <c r="H396" s="16">
        <f t="shared" si="34"/>
        <v>0</v>
      </c>
    </row>
    <row r="397" spans="5:8">
      <c r="E397" s="6" t="s">
        <v>294</v>
      </c>
      <c r="F397" s="6" t="s">
        <v>271</v>
      </c>
      <c r="G397" s="8">
        <v>0</v>
      </c>
      <c r="H397" s="16">
        <f t="shared" si="34"/>
        <v>0</v>
      </c>
    </row>
    <row r="398" spans="5:8">
      <c r="E398" s="6" t="s">
        <v>294</v>
      </c>
      <c r="F398" s="6" t="s">
        <v>272</v>
      </c>
      <c r="G398" s="8">
        <v>0</v>
      </c>
      <c r="H398" s="16">
        <f t="shared" si="34"/>
        <v>0</v>
      </c>
    </row>
    <row r="399" spans="5:8">
      <c r="E399" s="6" t="s">
        <v>295</v>
      </c>
      <c r="F399" s="6" t="s">
        <v>296</v>
      </c>
      <c r="G399" s="8">
        <v>0</v>
      </c>
      <c r="H399" s="16">
        <f t="shared" si="34"/>
        <v>0</v>
      </c>
    </row>
    <row r="400" spans="5:8">
      <c r="E400" s="6" t="s">
        <v>297</v>
      </c>
      <c r="F400" s="6" t="s">
        <v>279</v>
      </c>
      <c r="G400" s="8">
        <v>0</v>
      </c>
      <c r="H400" s="16">
        <f t="shared" si="34"/>
        <v>0</v>
      </c>
    </row>
    <row r="401" spans="5:8">
      <c r="E401" s="6" t="s">
        <v>297</v>
      </c>
      <c r="F401" s="6" t="s">
        <v>280</v>
      </c>
      <c r="G401" s="8">
        <v>0</v>
      </c>
      <c r="H401" s="16">
        <f t="shared" si="34"/>
        <v>0</v>
      </c>
    </row>
    <row r="402" spans="5:8">
      <c r="E402" s="6" t="s">
        <v>297</v>
      </c>
      <c r="F402" s="6" t="s">
        <v>281</v>
      </c>
      <c r="G402" s="8">
        <v>0</v>
      </c>
      <c r="H402" s="16">
        <f t="shared" si="34"/>
        <v>0</v>
      </c>
    </row>
    <row r="403" spans="5:8">
      <c r="E403" s="6" t="s">
        <v>297</v>
      </c>
      <c r="F403" s="6" t="s">
        <v>282</v>
      </c>
      <c r="G403" s="8">
        <v>2</v>
      </c>
      <c r="H403" s="16">
        <f t="shared" si="34"/>
        <v>1</v>
      </c>
    </row>
    <row r="404" spans="5:8">
      <c r="E404" s="6" t="s">
        <v>297</v>
      </c>
      <c r="F404" s="6" t="s">
        <v>283</v>
      </c>
      <c r="G404" s="8">
        <v>0</v>
      </c>
      <c r="H404" s="16">
        <f t="shared" si="34"/>
        <v>0</v>
      </c>
    </row>
    <row r="405" spans="5:8">
      <c r="E405" s="6" t="s">
        <v>297</v>
      </c>
      <c r="F405" s="6" t="s">
        <v>160</v>
      </c>
      <c r="G405" s="8">
        <v>0</v>
      </c>
      <c r="H405" s="16">
        <f t="shared" si="34"/>
        <v>0</v>
      </c>
    </row>
    <row r="406" spans="5:8">
      <c r="E406" s="6" t="s">
        <v>297</v>
      </c>
      <c r="F406" s="6" t="s">
        <v>264</v>
      </c>
      <c r="G406" s="8">
        <v>0</v>
      </c>
      <c r="H406" s="16">
        <f t="shared" si="34"/>
        <v>0</v>
      </c>
    </row>
    <row r="407" spans="5:8">
      <c r="E407" s="6" t="s">
        <v>297</v>
      </c>
      <c r="F407" s="6" t="s">
        <v>265</v>
      </c>
      <c r="G407" s="8">
        <v>0</v>
      </c>
      <c r="H407" s="16">
        <f t="shared" si="34"/>
        <v>0</v>
      </c>
    </row>
    <row r="408" spans="5:8">
      <c r="E408" s="6" t="s">
        <v>297</v>
      </c>
      <c r="F408" s="6" t="s">
        <v>266</v>
      </c>
      <c r="G408" s="8">
        <v>0</v>
      </c>
      <c r="H408" s="16">
        <f t="shared" si="34"/>
        <v>0</v>
      </c>
    </row>
    <row r="409" spans="5:8">
      <c r="E409" s="6" t="s">
        <v>297</v>
      </c>
      <c r="F409" s="6" t="s">
        <v>112</v>
      </c>
      <c r="G409" s="8">
        <v>0</v>
      </c>
      <c r="H409" s="16">
        <f t="shared" si="34"/>
        <v>0</v>
      </c>
    </row>
    <row r="410" spans="5:8">
      <c r="E410" s="6" t="s">
        <v>297</v>
      </c>
      <c r="F410" s="6" t="s">
        <v>267</v>
      </c>
      <c r="G410" s="8">
        <v>0</v>
      </c>
      <c r="H410" s="16">
        <f t="shared" si="34"/>
        <v>0</v>
      </c>
    </row>
    <row r="411" spans="5:8">
      <c r="E411" s="6" t="s">
        <v>297</v>
      </c>
      <c r="F411" s="6" t="s">
        <v>268</v>
      </c>
      <c r="G411" s="8">
        <v>9</v>
      </c>
      <c r="H411" s="16">
        <f t="shared" si="34"/>
        <v>1</v>
      </c>
    </row>
    <row r="412" spans="5:8">
      <c r="E412" s="6" t="s">
        <v>297</v>
      </c>
      <c r="F412" s="6" t="s">
        <v>269</v>
      </c>
      <c r="G412" s="8">
        <v>0</v>
      </c>
      <c r="H412" s="16">
        <f t="shared" si="34"/>
        <v>0</v>
      </c>
    </row>
    <row r="413" spans="5:8">
      <c r="E413" s="6" t="s">
        <v>297</v>
      </c>
      <c r="F413" s="6" t="s">
        <v>270</v>
      </c>
      <c r="G413" s="8">
        <v>0</v>
      </c>
      <c r="H413" s="16">
        <f t="shared" si="34"/>
        <v>0</v>
      </c>
    </row>
    <row r="414" spans="5:8">
      <c r="E414" s="6" t="s">
        <v>297</v>
      </c>
      <c r="F414" s="6" t="s">
        <v>271</v>
      </c>
      <c r="G414" s="8">
        <v>0</v>
      </c>
      <c r="H414" s="16">
        <f t="shared" si="34"/>
        <v>0</v>
      </c>
    </row>
    <row r="415" spans="5:8">
      <c r="E415" s="6" t="s">
        <v>297</v>
      </c>
      <c r="F415" s="6" t="s">
        <v>272</v>
      </c>
      <c r="G415" s="8">
        <v>0</v>
      </c>
      <c r="H415" s="16">
        <f t="shared" si="34"/>
        <v>0</v>
      </c>
    </row>
    <row r="416" spans="5:8">
      <c r="E416" s="6" t="s">
        <v>297</v>
      </c>
      <c r="F416" s="6" t="s">
        <v>273</v>
      </c>
      <c r="G416" s="8">
        <v>0</v>
      </c>
      <c r="H416" s="16">
        <f t="shared" si="34"/>
        <v>0</v>
      </c>
    </row>
    <row r="417" spans="5:8">
      <c r="E417" s="6" t="s">
        <v>297</v>
      </c>
      <c r="F417" s="6" t="s">
        <v>132</v>
      </c>
      <c r="G417" s="8">
        <v>0</v>
      </c>
      <c r="H417" s="16">
        <f t="shared" si="34"/>
        <v>0</v>
      </c>
    </row>
    <row r="418" spans="5:8">
      <c r="E418" s="6" t="s">
        <v>297</v>
      </c>
      <c r="F418" s="6" t="s">
        <v>261</v>
      </c>
      <c r="G418" s="8">
        <v>0</v>
      </c>
      <c r="H418" s="16">
        <f t="shared" si="34"/>
        <v>0</v>
      </c>
    </row>
    <row r="419" spans="5:8">
      <c r="E419" s="6" t="s">
        <v>297</v>
      </c>
      <c r="F419" s="6" t="s">
        <v>262</v>
      </c>
      <c r="G419" s="8">
        <v>0</v>
      </c>
      <c r="H419" s="16">
        <f t="shared" si="34"/>
        <v>0</v>
      </c>
    </row>
    <row r="420" spans="5:8">
      <c r="E420" s="6" t="s">
        <v>298</v>
      </c>
      <c r="F420" s="6" t="s">
        <v>273</v>
      </c>
      <c r="G420" s="8">
        <v>0</v>
      </c>
      <c r="H420" s="16">
        <f t="shared" si="34"/>
        <v>0</v>
      </c>
    </row>
    <row r="421" spans="5:8">
      <c r="E421" s="6" t="s">
        <v>298</v>
      </c>
      <c r="F421" s="6" t="s">
        <v>132</v>
      </c>
      <c r="G421" s="8">
        <v>0</v>
      </c>
      <c r="H421" s="16">
        <f t="shared" si="34"/>
        <v>0</v>
      </c>
    </row>
    <row r="422" spans="5:8">
      <c r="E422" s="6" t="s">
        <v>298</v>
      </c>
      <c r="F422" s="6" t="s">
        <v>261</v>
      </c>
      <c r="G422" s="8">
        <v>0</v>
      </c>
      <c r="H422" s="16">
        <f t="shared" si="34"/>
        <v>0</v>
      </c>
    </row>
    <row r="423" spans="5:8">
      <c r="E423" s="6" t="s">
        <v>298</v>
      </c>
      <c r="F423" s="6" t="s">
        <v>262</v>
      </c>
      <c r="G423" s="8">
        <v>0</v>
      </c>
      <c r="H423" s="16">
        <f t="shared" si="34"/>
        <v>0</v>
      </c>
    </row>
    <row r="424" spans="5:8">
      <c r="E424" s="6" t="s">
        <v>299</v>
      </c>
      <c r="F424" s="6" t="s">
        <v>279</v>
      </c>
      <c r="G424" s="8">
        <v>2</v>
      </c>
      <c r="H424" s="16">
        <f t="shared" si="34"/>
        <v>1</v>
      </c>
    </row>
    <row r="425" spans="5:8">
      <c r="E425" s="6" t="s">
        <v>299</v>
      </c>
      <c r="F425" s="6" t="s">
        <v>280</v>
      </c>
      <c r="G425" s="8">
        <v>0</v>
      </c>
      <c r="H425" s="16">
        <f t="shared" si="34"/>
        <v>0</v>
      </c>
    </row>
    <row r="426" spans="5:8">
      <c r="E426" s="6" t="s">
        <v>299</v>
      </c>
      <c r="F426" s="6" t="s">
        <v>281</v>
      </c>
      <c r="G426" s="8">
        <v>0</v>
      </c>
      <c r="H426" s="16">
        <f t="shared" si="34"/>
        <v>0</v>
      </c>
    </row>
    <row r="427" spans="5:8">
      <c r="E427" s="6" t="s">
        <v>299</v>
      </c>
      <c r="F427" s="6" t="s">
        <v>282</v>
      </c>
      <c r="G427" s="8">
        <v>2</v>
      </c>
      <c r="H427" s="16">
        <f t="shared" si="34"/>
        <v>1</v>
      </c>
    </row>
    <row r="428" spans="5:8">
      <c r="E428" s="6" t="s">
        <v>299</v>
      </c>
      <c r="F428" s="6" t="s">
        <v>283</v>
      </c>
      <c r="G428" s="8">
        <v>0</v>
      </c>
      <c r="H428" s="16">
        <f t="shared" si="34"/>
        <v>0</v>
      </c>
    </row>
    <row r="429" spans="5:8">
      <c r="E429" s="6" t="s">
        <v>299</v>
      </c>
      <c r="F429" s="6" t="s">
        <v>160</v>
      </c>
      <c r="G429" s="8">
        <v>0</v>
      </c>
      <c r="H429" s="16">
        <f t="shared" si="34"/>
        <v>0</v>
      </c>
    </row>
    <row r="430" spans="5:8">
      <c r="E430" s="6" t="s">
        <v>299</v>
      </c>
      <c r="F430" s="6" t="s">
        <v>264</v>
      </c>
      <c r="G430" s="8">
        <v>0</v>
      </c>
      <c r="H430" s="16">
        <f t="shared" si="34"/>
        <v>0</v>
      </c>
    </row>
    <row r="431" spans="5:8">
      <c r="E431" s="6" t="s">
        <v>299</v>
      </c>
      <c r="F431" s="6" t="s">
        <v>265</v>
      </c>
      <c r="G431" s="8">
        <v>0</v>
      </c>
      <c r="H431" s="16">
        <f t="shared" si="34"/>
        <v>0</v>
      </c>
    </row>
    <row r="432" spans="5:8">
      <c r="E432" s="6" t="s">
        <v>300</v>
      </c>
      <c r="F432" s="6" t="s">
        <v>269</v>
      </c>
      <c r="G432" s="8">
        <v>0</v>
      </c>
      <c r="H432" s="16">
        <f t="shared" si="34"/>
        <v>0</v>
      </c>
    </row>
    <row r="433" spans="5:8">
      <c r="E433" s="6" t="s">
        <v>300</v>
      </c>
      <c r="F433" s="6" t="s">
        <v>270</v>
      </c>
      <c r="G433" s="8">
        <v>0</v>
      </c>
      <c r="H433" s="16">
        <f t="shared" si="34"/>
        <v>0</v>
      </c>
    </row>
    <row r="434" spans="5:8">
      <c r="E434" s="6" t="s">
        <v>300</v>
      </c>
      <c r="F434" s="6" t="s">
        <v>271</v>
      </c>
      <c r="G434" s="8">
        <v>0</v>
      </c>
      <c r="H434" s="16">
        <f t="shared" si="34"/>
        <v>0</v>
      </c>
    </row>
    <row r="435" spans="5:8">
      <c r="E435" s="6" t="s">
        <v>300</v>
      </c>
      <c r="F435" s="6" t="s">
        <v>272</v>
      </c>
      <c r="G435" s="8">
        <v>0</v>
      </c>
      <c r="H435" s="16">
        <f t="shared" si="34"/>
        <v>0</v>
      </c>
    </row>
    <row r="436" spans="5:8">
      <c r="E436" s="6" t="s">
        <v>300</v>
      </c>
      <c r="F436" s="6" t="s">
        <v>273</v>
      </c>
      <c r="G436" s="8">
        <v>0</v>
      </c>
      <c r="H436" s="16">
        <f t="shared" si="34"/>
        <v>0</v>
      </c>
    </row>
    <row r="437" spans="5:8">
      <c r="E437" s="6" t="s">
        <v>300</v>
      </c>
      <c r="F437" s="6" t="s">
        <v>132</v>
      </c>
      <c r="G437" s="8">
        <v>0</v>
      </c>
      <c r="H437" s="16">
        <f t="shared" si="34"/>
        <v>0</v>
      </c>
    </row>
    <row r="438" spans="5:8">
      <c r="E438" s="6" t="s">
        <v>300</v>
      </c>
      <c r="F438" s="6" t="s">
        <v>261</v>
      </c>
      <c r="G438" s="8">
        <v>0</v>
      </c>
      <c r="H438" s="16">
        <f t="shared" si="34"/>
        <v>0</v>
      </c>
    </row>
    <row r="439" spans="5:8">
      <c r="E439" s="6" t="s">
        <v>300</v>
      </c>
      <c r="F439" s="6" t="s">
        <v>262</v>
      </c>
      <c r="G439" s="8">
        <v>0</v>
      </c>
      <c r="H439" s="16">
        <f t="shared" si="34"/>
        <v>0</v>
      </c>
    </row>
    <row r="440" spans="5:8">
      <c r="E440" s="6" t="s">
        <v>301</v>
      </c>
      <c r="F440" s="6" t="s">
        <v>279</v>
      </c>
      <c r="G440" s="8">
        <v>0</v>
      </c>
      <c r="H440" s="16">
        <f t="shared" si="34"/>
        <v>0</v>
      </c>
    </row>
    <row r="441" spans="5:8">
      <c r="E441" s="6" t="s">
        <v>301</v>
      </c>
      <c r="F441" s="6" t="s">
        <v>280</v>
      </c>
      <c r="G441" s="8">
        <v>0</v>
      </c>
      <c r="H441" s="16">
        <f t="shared" si="34"/>
        <v>0</v>
      </c>
    </row>
    <row r="442" spans="5:8">
      <c r="E442" s="6" t="s">
        <v>301</v>
      </c>
      <c r="F442" s="6" t="s">
        <v>281</v>
      </c>
      <c r="G442" s="8">
        <v>0</v>
      </c>
      <c r="H442" s="16">
        <f t="shared" si="34"/>
        <v>0</v>
      </c>
    </row>
    <row r="443" spans="5:8">
      <c r="E443" s="6" t="s">
        <v>301</v>
      </c>
      <c r="F443" s="6" t="s">
        <v>283</v>
      </c>
      <c r="G443" s="8">
        <v>0</v>
      </c>
      <c r="H443" s="16">
        <f t="shared" si="34"/>
        <v>0</v>
      </c>
    </row>
    <row r="444" spans="5:8">
      <c r="E444" s="6" t="s">
        <v>301</v>
      </c>
      <c r="F444" s="6" t="s">
        <v>160</v>
      </c>
      <c r="G444" s="8">
        <v>0</v>
      </c>
      <c r="H444" s="16">
        <f t="shared" si="34"/>
        <v>0</v>
      </c>
    </row>
    <row r="445" spans="5:8">
      <c r="E445" s="6" t="s">
        <v>301</v>
      </c>
      <c r="F445" s="6" t="s">
        <v>264</v>
      </c>
      <c r="G445" s="8">
        <v>0</v>
      </c>
      <c r="H445" s="16">
        <f t="shared" si="34"/>
        <v>0</v>
      </c>
    </row>
    <row r="446" spans="5:8">
      <c r="E446" s="6" t="s">
        <v>301</v>
      </c>
      <c r="F446" s="6" t="s">
        <v>265</v>
      </c>
      <c r="G446" s="8">
        <v>0</v>
      </c>
      <c r="H446" s="16">
        <f t="shared" si="34"/>
        <v>0</v>
      </c>
    </row>
    <row r="447" spans="5:8">
      <c r="E447" s="6" t="s">
        <v>301</v>
      </c>
      <c r="F447" s="6" t="s">
        <v>266</v>
      </c>
      <c r="G447" s="8">
        <v>0</v>
      </c>
      <c r="H447" s="16">
        <f t="shared" si="34"/>
        <v>0</v>
      </c>
    </row>
    <row r="448" spans="5:8">
      <c r="E448" s="6" t="s">
        <v>301</v>
      </c>
      <c r="F448" s="6" t="s">
        <v>112</v>
      </c>
      <c r="G448" s="8">
        <v>0</v>
      </c>
      <c r="H448" s="16">
        <f t="shared" si="34"/>
        <v>0</v>
      </c>
    </row>
    <row r="449" spans="5:8">
      <c r="E449" s="6" t="s">
        <v>301</v>
      </c>
      <c r="F449" s="6" t="s">
        <v>267</v>
      </c>
      <c r="G449" s="8">
        <v>0</v>
      </c>
      <c r="H449" s="16">
        <f t="shared" si="34"/>
        <v>0</v>
      </c>
    </row>
    <row r="450" spans="5:8">
      <c r="E450" s="6" t="s">
        <v>301</v>
      </c>
      <c r="F450" s="6" t="s">
        <v>268</v>
      </c>
      <c r="G450" s="8">
        <v>0</v>
      </c>
      <c r="H450" s="16">
        <f t="shared" si="34"/>
        <v>0</v>
      </c>
    </row>
    <row r="451" spans="5:8">
      <c r="E451" s="6" t="s">
        <v>301</v>
      </c>
      <c r="F451" s="6" t="s">
        <v>269</v>
      </c>
      <c r="G451" s="8">
        <v>0</v>
      </c>
      <c r="H451" s="16">
        <f t="shared" ref="H451:H514" si="35">IF(G451=0,0,1)</f>
        <v>0</v>
      </c>
    </row>
    <row r="452" spans="5:8">
      <c r="E452" s="6" t="s">
        <v>301</v>
      </c>
      <c r="F452" s="6" t="s">
        <v>270</v>
      </c>
      <c r="G452" s="8">
        <v>0</v>
      </c>
      <c r="H452" s="16">
        <f t="shared" si="35"/>
        <v>0</v>
      </c>
    </row>
    <row r="453" spans="5:8">
      <c r="E453" s="6" t="s">
        <v>301</v>
      </c>
      <c r="F453" s="6" t="s">
        <v>271</v>
      </c>
      <c r="G453" s="8">
        <v>0</v>
      </c>
      <c r="H453" s="16">
        <f t="shared" si="35"/>
        <v>0</v>
      </c>
    </row>
    <row r="454" spans="5:8">
      <c r="E454" s="6" t="s">
        <v>301</v>
      </c>
      <c r="F454" s="6" t="s">
        <v>272</v>
      </c>
      <c r="G454" s="8">
        <v>0</v>
      </c>
      <c r="H454" s="16">
        <f t="shared" si="35"/>
        <v>0</v>
      </c>
    </row>
    <row r="455" spans="5:8">
      <c r="E455" s="6" t="s">
        <v>301</v>
      </c>
      <c r="F455" s="6" t="s">
        <v>273</v>
      </c>
      <c r="G455" s="8">
        <v>0</v>
      </c>
      <c r="H455" s="16">
        <f t="shared" si="35"/>
        <v>0</v>
      </c>
    </row>
    <row r="456" spans="5:8">
      <c r="E456" s="6" t="s">
        <v>301</v>
      </c>
      <c r="F456" s="6" t="s">
        <v>132</v>
      </c>
      <c r="G456" s="8">
        <v>0</v>
      </c>
      <c r="H456" s="16">
        <f t="shared" si="35"/>
        <v>0</v>
      </c>
    </row>
    <row r="457" spans="5:8">
      <c r="E457" s="6" t="s">
        <v>301</v>
      </c>
      <c r="F457" s="6" t="s">
        <v>261</v>
      </c>
      <c r="G457" s="8">
        <v>0</v>
      </c>
      <c r="H457" s="16">
        <f t="shared" si="35"/>
        <v>0</v>
      </c>
    </row>
    <row r="458" spans="5:8">
      <c r="E458" s="6" t="s">
        <v>301</v>
      </c>
      <c r="F458" s="6" t="s">
        <v>262</v>
      </c>
      <c r="G458" s="8">
        <v>0</v>
      </c>
      <c r="H458" s="16">
        <f t="shared" si="35"/>
        <v>0</v>
      </c>
    </row>
    <row r="459" spans="5:8">
      <c r="E459" s="6" t="s">
        <v>302</v>
      </c>
      <c r="F459" s="6" t="s">
        <v>280</v>
      </c>
      <c r="G459" s="8">
        <v>0</v>
      </c>
      <c r="H459" s="16">
        <f t="shared" si="35"/>
        <v>0</v>
      </c>
    </row>
    <row r="460" spans="5:8">
      <c r="E460" s="6" t="s">
        <v>302</v>
      </c>
      <c r="F460" s="6" t="s">
        <v>282</v>
      </c>
      <c r="G460" s="8">
        <v>0</v>
      </c>
      <c r="H460" s="16">
        <f t="shared" si="35"/>
        <v>0</v>
      </c>
    </row>
    <row r="461" spans="5:8">
      <c r="E461" s="6" t="s">
        <v>302</v>
      </c>
      <c r="F461" s="6" t="s">
        <v>283</v>
      </c>
      <c r="G461" s="8">
        <v>0</v>
      </c>
      <c r="H461" s="16">
        <f t="shared" si="35"/>
        <v>0</v>
      </c>
    </row>
    <row r="462" spans="5:8">
      <c r="E462" s="6" t="s">
        <v>302</v>
      </c>
      <c r="F462" s="6" t="s">
        <v>264</v>
      </c>
      <c r="G462" s="8">
        <v>0</v>
      </c>
      <c r="H462" s="16">
        <f t="shared" si="35"/>
        <v>0</v>
      </c>
    </row>
    <row r="463" spans="5:8">
      <c r="E463" s="6" t="s">
        <v>302</v>
      </c>
      <c r="F463" s="6" t="s">
        <v>265</v>
      </c>
      <c r="G463" s="8">
        <v>0</v>
      </c>
      <c r="H463" s="16">
        <f t="shared" si="35"/>
        <v>0</v>
      </c>
    </row>
    <row r="464" spans="5:8">
      <c r="E464" s="6" t="s">
        <v>302</v>
      </c>
      <c r="F464" s="6" t="s">
        <v>112</v>
      </c>
      <c r="G464" s="8">
        <v>6</v>
      </c>
      <c r="H464" s="16">
        <f t="shared" si="35"/>
        <v>1</v>
      </c>
    </row>
    <row r="465" spans="5:8">
      <c r="E465" s="6" t="s">
        <v>302</v>
      </c>
      <c r="F465" s="6" t="s">
        <v>267</v>
      </c>
      <c r="G465" s="8">
        <v>0</v>
      </c>
      <c r="H465" s="16">
        <f t="shared" si="35"/>
        <v>0</v>
      </c>
    </row>
    <row r="466" spans="5:8">
      <c r="E466" s="6" t="s">
        <v>302</v>
      </c>
      <c r="F466" s="6" t="s">
        <v>268</v>
      </c>
      <c r="G466" s="8">
        <v>0</v>
      </c>
      <c r="H466" s="16">
        <f t="shared" si="35"/>
        <v>0</v>
      </c>
    </row>
    <row r="467" spans="5:8">
      <c r="E467" s="6" t="s">
        <v>302</v>
      </c>
      <c r="F467" s="6" t="s">
        <v>269</v>
      </c>
      <c r="G467" s="8">
        <v>0</v>
      </c>
      <c r="H467" s="16">
        <f t="shared" si="35"/>
        <v>0</v>
      </c>
    </row>
    <row r="468" spans="5:8">
      <c r="E468" s="6" t="s">
        <v>302</v>
      </c>
      <c r="F468" s="6" t="s">
        <v>270</v>
      </c>
      <c r="G468" s="8">
        <v>0</v>
      </c>
      <c r="H468" s="16">
        <f t="shared" si="35"/>
        <v>0</v>
      </c>
    </row>
    <row r="469" spans="5:8">
      <c r="E469" s="6" t="s">
        <v>302</v>
      </c>
      <c r="F469" s="6" t="s">
        <v>271</v>
      </c>
      <c r="G469" s="8">
        <v>0</v>
      </c>
      <c r="H469" s="16">
        <f t="shared" si="35"/>
        <v>0</v>
      </c>
    </row>
    <row r="470" spans="5:8">
      <c r="E470" s="6" t="s">
        <v>302</v>
      </c>
      <c r="F470" s="6" t="s">
        <v>272</v>
      </c>
      <c r="G470" s="8">
        <v>0</v>
      </c>
      <c r="H470" s="16">
        <f t="shared" si="35"/>
        <v>0</v>
      </c>
    </row>
    <row r="471" spans="5:8">
      <c r="E471" s="6" t="s">
        <v>302</v>
      </c>
      <c r="F471" s="6" t="s">
        <v>273</v>
      </c>
      <c r="G471" s="8">
        <v>0</v>
      </c>
      <c r="H471" s="16">
        <f t="shared" si="35"/>
        <v>0</v>
      </c>
    </row>
    <row r="472" spans="5:8">
      <c r="E472" s="6" t="s">
        <v>302</v>
      </c>
      <c r="F472" s="6" t="s">
        <v>132</v>
      </c>
      <c r="G472" s="8">
        <v>59</v>
      </c>
      <c r="H472" s="16">
        <f t="shared" si="35"/>
        <v>1</v>
      </c>
    </row>
    <row r="473" spans="5:8">
      <c r="E473" s="6" t="s">
        <v>302</v>
      </c>
      <c r="F473" s="6" t="s">
        <v>261</v>
      </c>
      <c r="G473" s="8">
        <v>0</v>
      </c>
      <c r="H473" s="16">
        <f t="shared" si="35"/>
        <v>0</v>
      </c>
    </row>
    <row r="474" spans="5:8">
      <c r="E474" s="6" t="s">
        <v>302</v>
      </c>
      <c r="F474" s="6" t="s">
        <v>262</v>
      </c>
      <c r="G474" s="8">
        <v>0</v>
      </c>
      <c r="H474" s="16">
        <f t="shared" si="35"/>
        <v>0</v>
      </c>
    </row>
    <row r="475" spans="5:8">
      <c r="E475" s="6" t="s">
        <v>302</v>
      </c>
      <c r="F475" s="6" t="s">
        <v>303</v>
      </c>
      <c r="G475" s="8">
        <v>0</v>
      </c>
      <c r="H475" s="16">
        <f t="shared" si="35"/>
        <v>0</v>
      </c>
    </row>
    <row r="476" spans="5:8">
      <c r="E476" s="6" t="s">
        <v>302</v>
      </c>
      <c r="F476" s="6" t="s">
        <v>296</v>
      </c>
      <c r="G476" s="8">
        <v>61</v>
      </c>
      <c r="H476" s="16">
        <f t="shared" si="35"/>
        <v>1</v>
      </c>
    </row>
    <row r="477" spans="5:8">
      <c r="E477" s="6" t="s">
        <v>304</v>
      </c>
      <c r="F477" s="6" t="s">
        <v>160</v>
      </c>
      <c r="G477" s="8">
        <v>0</v>
      </c>
      <c r="H477" s="16">
        <f t="shared" si="35"/>
        <v>0</v>
      </c>
    </row>
    <row r="478" spans="5:8">
      <c r="E478" s="6" t="s">
        <v>304</v>
      </c>
      <c r="F478" s="6" t="s">
        <v>264</v>
      </c>
      <c r="G478" s="8">
        <v>0</v>
      </c>
      <c r="H478" s="16">
        <f t="shared" si="35"/>
        <v>0</v>
      </c>
    </row>
    <row r="479" spans="5:8">
      <c r="E479" s="6" t="s">
        <v>304</v>
      </c>
      <c r="F479" s="6" t="s">
        <v>265</v>
      </c>
      <c r="G479" s="8">
        <v>0</v>
      </c>
      <c r="H479" s="16">
        <f t="shared" si="35"/>
        <v>0</v>
      </c>
    </row>
    <row r="480" spans="5:8">
      <c r="E480" s="6" t="s">
        <v>304</v>
      </c>
      <c r="F480" s="6" t="s">
        <v>266</v>
      </c>
      <c r="G480" s="8">
        <v>0</v>
      </c>
      <c r="H480" s="16">
        <f t="shared" si="35"/>
        <v>0</v>
      </c>
    </row>
    <row r="481" spans="5:8">
      <c r="E481" s="6" t="s">
        <v>304</v>
      </c>
      <c r="F481" s="6" t="s">
        <v>112</v>
      </c>
      <c r="G481" s="8">
        <v>0</v>
      </c>
      <c r="H481" s="16">
        <f t="shared" si="35"/>
        <v>0</v>
      </c>
    </row>
    <row r="482" spans="5:8">
      <c r="E482" s="6" t="s">
        <v>304</v>
      </c>
      <c r="F482" s="6" t="s">
        <v>267</v>
      </c>
      <c r="G482" s="8">
        <v>0</v>
      </c>
      <c r="H482" s="16">
        <f t="shared" si="35"/>
        <v>0</v>
      </c>
    </row>
    <row r="483" spans="5:8">
      <c r="E483" s="6" t="s">
        <v>304</v>
      </c>
      <c r="F483" s="6" t="s">
        <v>268</v>
      </c>
      <c r="G483" s="8">
        <v>0</v>
      </c>
      <c r="H483" s="16">
        <f t="shared" si="35"/>
        <v>0</v>
      </c>
    </row>
    <row r="484" spans="5:8">
      <c r="E484" s="6" t="s">
        <v>304</v>
      </c>
      <c r="F484" s="6" t="s">
        <v>269</v>
      </c>
      <c r="G484" s="8">
        <v>0</v>
      </c>
      <c r="H484" s="16">
        <f t="shared" si="35"/>
        <v>0</v>
      </c>
    </row>
    <row r="485" spans="5:8">
      <c r="E485" s="6" t="s">
        <v>304</v>
      </c>
      <c r="F485" s="6" t="s">
        <v>270</v>
      </c>
      <c r="G485" s="8">
        <v>0</v>
      </c>
      <c r="H485" s="16">
        <f t="shared" si="35"/>
        <v>0</v>
      </c>
    </row>
    <row r="486" spans="5:8">
      <c r="E486" s="6" t="s">
        <v>304</v>
      </c>
      <c r="F486" s="6" t="s">
        <v>271</v>
      </c>
      <c r="G486" s="8">
        <v>0</v>
      </c>
      <c r="H486" s="16">
        <f t="shared" si="35"/>
        <v>0</v>
      </c>
    </row>
    <row r="487" spans="5:8">
      <c r="E487" s="6" t="s">
        <v>304</v>
      </c>
      <c r="F487" s="6" t="s">
        <v>272</v>
      </c>
      <c r="G487" s="8">
        <v>0</v>
      </c>
      <c r="H487" s="16">
        <f t="shared" si="35"/>
        <v>0</v>
      </c>
    </row>
    <row r="488" spans="5:8">
      <c r="E488" s="6" t="s">
        <v>304</v>
      </c>
      <c r="F488" s="6" t="s">
        <v>273</v>
      </c>
      <c r="G488" s="8">
        <v>0</v>
      </c>
      <c r="H488" s="16">
        <f t="shared" si="35"/>
        <v>0</v>
      </c>
    </row>
    <row r="489" spans="5:8">
      <c r="E489" s="6" t="s">
        <v>304</v>
      </c>
      <c r="F489" s="6" t="s">
        <v>132</v>
      </c>
      <c r="G489" s="8">
        <v>0</v>
      </c>
      <c r="H489" s="16">
        <f t="shared" si="35"/>
        <v>0</v>
      </c>
    </row>
    <row r="490" spans="5:8">
      <c r="E490" s="6" t="s">
        <v>304</v>
      </c>
      <c r="F490" s="6" t="s">
        <v>261</v>
      </c>
      <c r="G490" s="8">
        <v>0</v>
      </c>
      <c r="H490" s="16">
        <f t="shared" si="35"/>
        <v>0</v>
      </c>
    </row>
    <row r="491" spans="5:8">
      <c r="E491" s="6" t="s">
        <v>304</v>
      </c>
      <c r="F491" s="6" t="s">
        <v>262</v>
      </c>
      <c r="G491" s="8">
        <v>0</v>
      </c>
      <c r="H491" s="16">
        <f t="shared" si="35"/>
        <v>0</v>
      </c>
    </row>
    <row r="492" spans="5:8">
      <c r="E492" s="6" t="s">
        <v>305</v>
      </c>
      <c r="F492" s="6" t="s">
        <v>132</v>
      </c>
      <c r="G492" s="8">
        <v>0</v>
      </c>
      <c r="H492" s="16">
        <f t="shared" si="35"/>
        <v>0</v>
      </c>
    </row>
    <row r="493" spans="5:8">
      <c r="E493" s="6" t="s">
        <v>305</v>
      </c>
      <c r="F493" s="6" t="s">
        <v>261</v>
      </c>
      <c r="G493" s="8">
        <v>0</v>
      </c>
      <c r="H493" s="16">
        <f t="shared" si="35"/>
        <v>0</v>
      </c>
    </row>
    <row r="494" spans="5:8">
      <c r="E494" s="6" t="s">
        <v>305</v>
      </c>
      <c r="F494" s="6" t="s">
        <v>262</v>
      </c>
      <c r="G494" s="8">
        <v>0</v>
      </c>
      <c r="H494" s="16">
        <f t="shared" si="35"/>
        <v>0</v>
      </c>
    </row>
    <row r="495" spans="5:8">
      <c r="E495" s="6" t="s">
        <v>306</v>
      </c>
      <c r="F495" s="6" t="s">
        <v>132</v>
      </c>
      <c r="G495" s="8">
        <v>0</v>
      </c>
      <c r="H495" s="16">
        <f t="shared" si="35"/>
        <v>0</v>
      </c>
    </row>
    <row r="496" spans="5:8">
      <c r="E496" s="6" t="s">
        <v>306</v>
      </c>
      <c r="F496" s="6" t="s">
        <v>261</v>
      </c>
      <c r="G496" s="8">
        <v>0</v>
      </c>
      <c r="H496" s="16">
        <f t="shared" si="35"/>
        <v>0</v>
      </c>
    </row>
    <row r="497" spans="5:8">
      <c r="E497" s="6" t="s">
        <v>306</v>
      </c>
      <c r="F497" s="6" t="s">
        <v>262</v>
      </c>
      <c r="G497" s="8">
        <v>0</v>
      </c>
      <c r="H497" s="16">
        <f t="shared" si="35"/>
        <v>0</v>
      </c>
    </row>
    <row r="498" spans="5:8">
      <c r="E498" s="6" t="s">
        <v>307</v>
      </c>
      <c r="F498" s="6" t="s">
        <v>279</v>
      </c>
      <c r="G498" s="8">
        <v>0</v>
      </c>
      <c r="H498" s="16">
        <f t="shared" si="35"/>
        <v>0</v>
      </c>
    </row>
    <row r="499" spans="5:8">
      <c r="E499" s="6" t="s">
        <v>307</v>
      </c>
      <c r="F499" s="6" t="s">
        <v>280</v>
      </c>
      <c r="G499" s="8">
        <v>0</v>
      </c>
      <c r="H499" s="16">
        <f t="shared" si="35"/>
        <v>0</v>
      </c>
    </row>
    <row r="500" spans="5:8">
      <c r="E500" s="6" t="s">
        <v>307</v>
      </c>
      <c r="F500" s="6" t="s">
        <v>281</v>
      </c>
      <c r="G500" s="8">
        <v>0</v>
      </c>
      <c r="H500" s="16">
        <f t="shared" si="35"/>
        <v>0</v>
      </c>
    </row>
    <row r="501" spans="5:8">
      <c r="E501" s="6" t="s">
        <v>307</v>
      </c>
      <c r="F501" s="6" t="s">
        <v>282</v>
      </c>
      <c r="G501" s="8">
        <v>0</v>
      </c>
      <c r="H501" s="16">
        <f t="shared" si="35"/>
        <v>0</v>
      </c>
    </row>
    <row r="502" spans="5:8">
      <c r="E502" s="6" t="s">
        <v>307</v>
      </c>
      <c r="F502" s="6" t="s">
        <v>283</v>
      </c>
      <c r="G502" s="8">
        <v>0</v>
      </c>
      <c r="H502" s="16">
        <f t="shared" si="35"/>
        <v>0</v>
      </c>
    </row>
    <row r="503" spans="5:8">
      <c r="E503" s="6" t="s">
        <v>307</v>
      </c>
      <c r="F503" s="6" t="s">
        <v>284</v>
      </c>
      <c r="G503" s="8">
        <v>3</v>
      </c>
      <c r="H503" s="16">
        <f t="shared" si="35"/>
        <v>1</v>
      </c>
    </row>
    <row r="504" spans="5:8">
      <c r="E504" s="6" t="s">
        <v>307</v>
      </c>
      <c r="F504" s="6" t="s">
        <v>160</v>
      </c>
      <c r="G504" s="8">
        <v>0</v>
      </c>
      <c r="H504" s="16">
        <f t="shared" si="35"/>
        <v>0</v>
      </c>
    </row>
    <row r="505" spans="5:8">
      <c r="E505" s="6" t="s">
        <v>307</v>
      </c>
      <c r="F505" s="6" t="s">
        <v>264</v>
      </c>
      <c r="G505" s="8">
        <v>0</v>
      </c>
      <c r="H505" s="16">
        <f t="shared" si="35"/>
        <v>0</v>
      </c>
    </row>
    <row r="506" spans="5:8">
      <c r="E506" s="6" t="s">
        <v>307</v>
      </c>
      <c r="F506" s="6" t="s">
        <v>265</v>
      </c>
      <c r="G506" s="8">
        <v>0</v>
      </c>
      <c r="H506" s="16">
        <f t="shared" si="35"/>
        <v>0</v>
      </c>
    </row>
    <row r="507" spans="5:8">
      <c r="E507" s="6" t="s">
        <v>307</v>
      </c>
      <c r="F507" s="6" t="s">
        <v>266</v>
      </c>
      <c r="G507" s="8">
        <v>0</v>
      </c>
      <c r="H507" s="16">
        <f t="shared" si="35"/>
        <v>0</v>
      </c>
    </row>
    <row r="508" spans="5:8">
      <c r="E508" s="6" t="s">
        <v>307</v>
      </c>
      <c r="F508" s="6" t="s">
        <v>112</v>
      </c>
      <c r="G508" s="8">
        <v>0</v>
      </c>
      <c r="H508" s="16">
        <f t="shared" si="35"/>
        <v>0</v>
      </c>
    </row>
    <row r="509" spans="5:8">
      <c r="E509" s="6" t="s">
        <v>307</v>
      </c>
      <c r="F509" s="6" t="s">
        <v>267</v>
      </c>
      <c r="G509" s="8">
        <v>0</v>
      </c>
      <c r="H509" s="16">
        <f t="shared" si="35"/>
        <v>0</v>
      </c>
    </row>
    <row r="510" spans="5:8">
      <c r="E510" s="6" t="s">
        <v>307</v>
      </c>
      <c r="F510" s="6" t="s">
        <v>268</v>
      </c>
      <c r="G510" s="8">
        <v>0</v>
      </c>
      <c r="H510" s="16">
        <f t="shared" si="35"/>
        <v>0</v>
      </c>
    </row>
    <row r="511" spans="5:8">
      <c r="E511" s="6" t="s">
        <v>307</v>
      </c>
      <c r="F511" s="6" t="s">
        <v>269</v>
      </c>
      <c r="G511" s="8">
        <v>0</v>
      </c>
      <c r="H511" s="16">
        <f t="shared" si="35"/>
        <v>0</v>
      </c>
    </row>
    <row r="512" spans="5:8">
      <c r="E512" s="6" t="s">
        <v>307</v>
      </c>
      <c r="F512" s="6" t="s">
        <v>270</v>
      </c>
      <c r="G512" s="8">
        <v>0</v>
      </c>
      <c r="H512" s="16">
        <f t="shared" si="35"/>
        <v>0</v>
      </c>
    </row>
    <row r="513" spans="5:8">
      <c r="E513" s="6" t="s">
        <v>307</v>
      </c>
      <c r="F513" s="6" t="s">
        <v>271</v>
      </c>
      <c r="G513" s="8">
        <v>0</v>
      </c>
      <c r="H513" s="16">
        <f t="shared" si="35"/>
        <v>0</v>
      </c>
    </row>
    <row r="514" spans="5:8">
      <c r="E514" s="6" t="s">
        <v>307</v>
      </c>
      <c r="F514" s="6" t="s">
        <v>272</v>
      </c>
      <c r="G514" s="8">
        <v>0</v>
      </c>
      <c r="H514" s="16">
        <f t="shared" si="35"/>
        <v>0</v>
      </c>
    </row>
    <row r="515" spans="5:8">
      <c r="E515" s="6" t="s">
        <v>307</v>
      </c>
      <c r="F515" s="6" t="s">
        <v>273</v>
      </c>
      <c r="G515" s="8">
        <v>0</v>
      </c>
      <c r="H515" s="16">
        <f t="shared" ref="H515:H578" si="36">IF(G515=0,0,1)</f>
        <v>0</v>
      </c>
    </row>
    <row r="516" spans="5:8">
      <c r="E516" s="6" t="s">
        <v>307</v>
      </c>
      <c r="F516" s="6" t="s">
        <v>132</v>
      </c>
      <c r="G516" s="8">
        <v>0</v>
      </c>
      <c r="H516" s="16">
        <f t="shared" si="36"/>
        <v>0</v>
      </c>
    </row>
    <row r="517" spans="5:8">
      <c r="E517" s="6" t="s">
        <v>307</v>
      </c>
      <c r="F517" s="6" t="s">
        <v>261</v>
      </c>
      <c r="G517" s="8">
        <v>0</v>
      </c>
      <c r="H517" s="16">
        <f t="shared" si="36"/>
        <v>0</v>
      </c>
    </row>
    <row r="518" spans="5:8">
      <c r="E518" s="6" t="s">
        <v>307</v>
      </c>
      <c r="F518" s="6" t="s">
        <v>262</v>
      </c>
      <c r="G518" s="8">
        <v>0</v>
      </c>
      <c r="H518" s="16">
        <f t="shared" si="36"/>
        <v>0</v>
      </c>
    </row>
    <row r="519" spans="5:8">
      <c r="E519" s="6" t="s">
        <v>308</v>
      </c>
      <c r="F519" s="6" t="s">
        <v>268</v>
      </c>
      <c r="G519" s="8">
        <v>0</v>
      </c>
      <c r="H519" s="16">
        <f t="shared" si="36"/>
        <v>0</v>
      </c>
    </row>
    <row r="520" spans="5:8">
      <c r="E520" s="6" t="s">
        <v>308</v>
      </c>
      <c r="F520" s="6" t="s">
        <v>269</v>
      </c>
      <c r="G520" s="8">
        <v>0</v>
      </c>
      <c r="H520" s="16">
        <f t="shared" si="36"/>
        <v>0</v>
      </c>
    </row>
    <row r="521" spans="5:8">
      <c r="E521" s="6" t="s">
        <v>308</v>
      </c>
      <c r="F521" s="6" t="s">
        <v>270</v>
      </c>
      <c r="G521" s="8">
        <v>0</v>
      </c>
      <c r="H521" s="16">
        <f t="shared" si="36"/>
        <v>0</v>
      </c>
    </row>
    <row r="522" spans="5:8">
      <c r="E522" s="6" t="s">
        <v>308</v>
      </c>
      <c r="F522" s="6" t="s">
        <v>271</v>
      </c>
      <c r="G522" s="8">
        <v>0</v>
      </c>
      <c r="H522" s="16">
        <f t="shared" si="36"/>
        <v>0</v>
      </c>
    </row>
    <row r="523" spans="5:8">
      <c r="E523" s="6" t="s">
        <v>308</v>
      </c>
      <c r="F523" s="6" t="s">
        <v>272</v>
      </c>
      <c r="G523" s="8">
        <v>0</v>
      </c>
      <c r="H523" s="16">
        <f t="shared" si="36"/>
        <v>0</v>
      </c>
    </row>
    <row r="524" spans="5:8">
      <c r="E524" s="6" t="s">
        <v>308</v>
      </c>
      <c r="F524" s="6" t="s">
        <v>273</v>
      </c>
      <c r="G524" s="8">
        <v>0</v>
      </c>
      <c r="H524" s="16">
        <f t="shared" si="36"/>
        <v>0</v>
      </c>
    </row>
    <row r="525" spans="5:8">
      <c r="E525" s="6" t="s">
        <v>308</v>
      </c>
      <c r="F525" s="6" t="s">
        <v>132</v>
      </c>
      <c r="G525" s="8">
        <v>0</v>
      </c>
      <c r="H525" s="16">
        <f t="shared" si="36"/>
        <v>0</v>
      </c>
    </row>
    <row r="526" spans="5:8">
      <c r="E526" s="6" t="s">
        <v>308</v>
      </c>
      <c r="F526" s="6" t="s">
        <v>261</v>
      </c>
      <c r="G526" s="8">
        <v>0</v>
      </c>
      <c r="H526" s="16">
        <f t="shared" si="36"/>
        <v>0</v>
      </c>
    </row>
    <row r="527" spans="5:8">
      <c r="E527" s="6" t="s">
        <v>308</v>
      </c>
      <c r="F527" s="6" t="s">
        <v>262</v>
      </c>
      <c r="G527" s="8">
        <v>0</v>
      </c>
      <c r="H527" s="16">
        <f t="shared" si="36"/>
        <v>0</v>
      </c>
    </row>
    <row r="528" spans="5:8">
      <c r="E528" s="6" t="s">
        <v>309</v>
      </c>
      <c r="F528" s="6" t="s">
        <v>281</v>
      </c>
      <c r="G528" s="8">
        <v>0</v>
      </c>
      <c r="H528" s="16">
        <f t="shared" si="36"/>
        <v>0</v>
      </c>
    </row>
    <row r="529" spans="5:8">
      <c r="E529" s="6" t="s">
        <v>309</v>
      </c>
      <c r="F529" s="6" t="s">
        <v>282</v>
      </c>
      <c r="G529" s="8">
        <v>0</v>
      </c>
      <c r="H529" s="16">
        <f t="shared" si="36"/>
        <v>0</v>
      </c>
    </row>
    <row r="530" spans="5:8">
      <c r="E530" s="6" t="s">
        <v>309</v>
      </c>
      <c r="F530" s="6" t="s">
        <v>283</v>
      </c>
      <c r="G530" s="8">
        <v>0</v>
      </c>
      <c r="H530" s="16">
        <f t="shared" si="36"/>
        <v>0</v>
      </c>
    </row>
    <row r="531" spans="5:8">
      <c r="E531" s="6" t="s">
        <v>309</v>
      </c>
      <c r="F531" s="6" t="s">
        <v>284</v>
      </c>
      <c r="G531" s="8">
        <v>0</v>
      </c>
      <c r="H531" s="16">
        <f t="shared" si="36"/>
        <v>0</v>
      </c>
    </row>
    <row r="532" spans="5:8">
      <c r="E532" s="6" t="s">
        <v>309</v>
      </c>
      <c r="F532" s="6" t="s">
        <v>160</v>
      </c>
      <c r="G532" s="8">
        <v>0</v>
      </c>
      <c r="H532" s="16">
        <f t="shared" si="36"/>
        <v>0</v>
      </c>
    </row>
    <row r="533" spans="5:8">
      <c r="E533" s="6" t="s">
        <v>309</v>
      </c>
      <c r="F533" s="6" t="s">
        <v>264</v>
      </c>
      <c r="G533" s="8">
        <v>0</v>
      </c>
      <c r="H533" s="16">
        <f t="shared" si="36"/>
        <v>0</v>
      </c>
    </row>
    <row r="534" spans="5:8">
      <c r="E534" s="6" t="s">
        <v>309</v>
      </c>
      <c r="F534" s="6" t="s">
        <v>265</v>
      </c>
      <c r="G534" s="8">
        <v>0</v>
      </c>
      <c r="H534" s="16">
        <f t="shared" si="36"/>
        <v>0</v>
      </c>
    </row>
    <row r="535" spans="5:8">
      <c r="E535" s="6" t="s">
        <v>309</v>
      </c>
      <c r="F535" s="6" t="s">
        <v>266</v>
      </c>
      <c r="G535" s="8">
        <v>0</v>
      </c>
      <c r="H535" s="16">
        <f t="shared" si="36"/>
        <v>0</v>
      </c>
    </row>
    <row r="536" spans="5:8">
      <c r="E536" s="6" t="s">
        <v>309</v>
      </c>
      <c r="F536" s="6" t="s">
        <v>112</v>
      </c>
      <c r="G536" s="8">
        <v>0</v>
      </c>
      <c r="H536" s="16">
        <f t="shared" si="36"/>
        <v>0</v>
      </c>
    </row>
    <row r="537" spans="5:8">
      <c r="E537" s="6" t="s">
        <v>309</v>
      </c>
      <c r="F537" s="6" t="s">
        <v>267</v>
      </c>
      <c r="G537" s="8">
        <v>0</v>
      </c>
      <c r="H537" s="16">
        <f t="shared" si="36"/>
        <v>0</v>
      </c>
    </row>
    <row r="538" spans="5:8">
      <c r="E538" s="6" t="s">
        <v>309</v>
      </c>
      <c r="F538" s="6" t="s">
        <v>268</v>
      </c>
      <c r="G538" s="8">
        <v>0</v>
      </c>
      <c r="H538" s="16">
        <f t="shared" si="36"/>
        <v>0</v>
      </c>
    </row>
    <row r="539" spans="5:8">
      <c r="E539" s="6" t="s">
        <v>309</v>
      </c>
      <c r="F539" s="6" t="s">
        <v>269</v>
      </c>
      <c r="G539" s="8">
        <v>0</v>
      </c>
      <c r="H539" s="16">
        <f t="shared" si="36"/>
        <v>0</v>
      </c>
    </row>
    <row r="540" spans="5:8">
      <c r="E540" s="6" t="s">
        <v>309</v>
      </c>
      <c r="F540" s="6" t="s">
        <v>270</v>
      </c>
      <c r="G540" s="8">
        <v>0</v>
      </c>
      <c r="H540" s="16">
        <f t="shared" si="36"/>
        <v>0</v>
      </c>
    </row>
    <row r="541" spans="5:8">
      <c r="E541" s="6" t="s">
        <v>309</v>
      </c>
      <c r="F541" s="6" t="s">
        <v>271</v>
      </c>
      <c r="G541" s="8">
        <v>0</v>
      </c>
      <c r="H541" s="16">
        <f t="shared" si="36"/>
        <v>0</v>
      </c>
    </row>
    <row r="542" spans="5:8">
      <c r="E542" s="6" t="s">
        <v>309</v>
      </c>
      <c r="F542" s="6" t="s">
        <v>272</v>
      </c>
      <c r="G542" s="8">
        <v>0</v>
      </c>
      <c r="H542" s="16">
        <f t="shared" si="36"/>
        <v>0</v>
      </c>
    </row>
    <row r="543" spans="5:8">
      <c r="E543" s="6" t="s">
        <v>309</v>
      </c>
      <c r="F543" s="6" t="s">
        <v>273</v>
      </c>
      <c r="G543" s="8">
        <v>0</v>
      </c>
      <c r="H543" s="16">
        <f t="shared" si="36"/>
        <v>0</v>
      </c>
    </row>
    <row r="544" spans="5:8">
      <c r="E544" s="6" t="s">
        <v>309</v>
      </c>
      <c r="F544" s="6" t="s">
        <v>132</v>
      </c>
      <c r="G544" s="8">
        <v>0</v>
      </c>
      <c r="H544" s="16">
        <f t="shared" si="36"/>
        <v>0</v>
      </c>
    </row>
    <row r="545" spans="5:8">
      <c r="E545" s="6" t="s">
        <v>309</v>
      </c>
      <c r="F545" s="6" t="s">
        <v>261</v>
      </c>
      <c r="G545" s="8">
        <v>0</v>
      </c>
      <c r="H545" s="16">
        <f t="shared" si="36"/>
        <v>0</v>
      </c>
    </row>
    <row r="546" spans="5:8">
      <c r="E546" s="6" t="s">
        <v>309</v>
      </c>
      <c r="F546" s="6" t="s">
        <v>262</v>
      </c>
      <c r="G546" s="8">
        <v>0</v>
      </c>
      <c r="H546" s="16">
        <f t="shared" si="36"/>
        <v>0</v>
      </c>
    </row>
    <row r="547" spans="5:8">
      <c r="E547" s="6" t="s">
        <v>310</v>
      </c>
      <c r="F547" s="6" t="s">
        <v>279</v>
      </c>
      <c r="G547" s="8">
        <v>0</v>
      </c>
      <c r="H547" s="16">
        <f t="shared" si="36"/>
        <v>0</v>
      </c>
    </row>
    <row r="548" spans="5:8">
      <c r="E548" s="6" t="s">
        <v>310</v>
      </c>
      <c r="F548" s="6" t="s">
        <v>280</v>
      </c>
      <c r="G548" s="8">
        <v>0</v>
      </c>
      <c r="H548" s="16">
        <f t="shared" si="36"/>
        <v>0</v>
      </c>
    </row>
    <row r="549" spans="5:8">
      <c r="E549" s="6" t="s">
        <v>310</v>
      </c>
      <c r="F549" s="6" t="s">
        <v>281</v>
      </c>
      <c r="G549" s="8">
        <v>0</v>
      </c>
      <c r="H549" s="16">
        <f t="shared" si="36"/>
        <v>0</v>
      </c>
    </row>
    <row r="550" spans="5:8">
      <c r="E550" s="6" t="s">
        <v>310</v>
      </c>
      <c r="F550" s="6" t="s">
        <v>282</v>
      </c>
      <c r="G550" s="8">
        <v>0</v>
      </c>
      <c r="H550" s="16">
        <f t="shared" si="36"/>
        <v>0</v>
      </c>
    </row>
    <row r="551" spans="5:8">
      <c r="E551" s="6" t="s">
        <v>310</v>
      </c>
      <c r="F551" s="6" t="s">
        <v>283</v>
      </c>
      <c r="G551" s="8">
        <v>0</v>
      </c>
      <c r="H551" s="16">
        <f t="shared" si="36"/>
        <v>0</v>
      </c>
    </row>
    <row r="552" spans="5:8">
      <c r="E552" s="6" t="s">
        <v>310</v>
      </c>
      <c r="F552" s="6" t="s">
        <v>160</v>
      </c>
      <c r="G552" s="8">
        <v>0</v>
      </c>
      <c r="H552" s="16">
        <f t="shared" si="36"/>
        <v>0</v>
      </c>
    </row>
    <row r="553" spans="5:8">
      <c r="E553" s="6" t="s">
        <v>310</v>
      </c>
      <c r="F553" s="6" t="s">
        <v>264</v>
      </c>
      <c r="G553" s="8">
        <v>0</v>
      </c>
      <c r="H553" s="16">
        <f t="shared" si="36"/>
        <v>0</v>
      </c>
    </row>
    <row r="554" spans="5:8">
      <c r="E554" s="6" t="s">
        <v>310</v>
      </c>
      <c r="F554" s="6" t="s">
        <v>265</v>
      </c>
      <c r="G554" s="8">
        <v>0</v>
      </c>
      <c r="H554" s="16">
        <f t="shared" si="36"/>
        <v>0</v>
      </c>
    </row>
    <row r="555" spans="5:8">
      <c r="E555" s="6" t="s">
        <v>310</v>
      </c>
      <c r="F555" s="6" t="s">
        <v>266</v>
      </c>
      <c r="G555" s="8">
        <v>0</v>
      </c>
      <c r="H555" s="16">
        <f t="shared" si="36"/>
        <v>0</v>
      </c>
    </row>
    <row r="556" spans="5:8">
      <c r="E556" s="6" t="s">
        <v>310</v>
      </c>
      <c r="F556" s="6" t="s">
        <v>112</v>
      </c>
      <c r="G556" s="8">
        <v>0</v>
      </c>
      <c r="H556" s="16">
        <f t="shared" si="36"/>
        <v>0</v>
      </c>
    </row>
    <row r="557" spans="5:8">
      <c r="E557" s="6" t="s">
        <v>310</v>
      </c>
      <c r="F557" s="6" t="s">
        <v>267</v>
      </c>
      <c r="G557" s="8">
        <v>0</v>
      </c>
      <c r="H557" s="16">
        <f t="shared" si="36"/>
        <v>0</v>
      </c>
    </row>
    <row r="558" spans="5:8">
      <c r="E558" s="6" t="s">
        <v>310</v>
      </c>
      <c r="F558" s="6" t="s">
        <v>268</v>
      </c>
      <c r="G558" s="8">
        <v>0</v>
      </c>
      <c r="H558" s="16">
        <f t="shared" si="36"/>
        <v>0</v>
      </c>
    </row>
    <row r="559" spans="5:8">
      <c r="E559" s="6" t="s">
        <v>310</v>
      </c>
      <c r="F559" s="6" t="s">
        <v>269</v>
      </c>
      <c r="G559" s="8">
        <v>0</v>
      </c>
      <c r="H559" s="16">
        <f t="shared" si="36"/>
        <v>0</v>
      </c>
    </row>
    <row r="560" spans="5:8">
      <c r="E560" s="6" t="s">
        <v>310</v>
      </c>
      <c r="F560" s="6" t="s">
        <v>270</v>
      </c>
      <c r="G560" s="8">
        <v>0</v>
      </c>
      <c r="H560" s="16">
        <f t="shared" si="36"/>
        <v>0</v>
      </c>
    </row>
    <row r="561" spans="5:8">
      <c r="E561" s="6" t="s">
        <v>310</v>
      </c>
      <c r="F561" s="6" t="s">
        <v>271</v>
      </c>
      <c r="G561" s="8">
        <v>0</v>
      </c>
      <c r="H561" s="16">
        <f t="shared" si="36"/>
        <v>0</v>
      </c>
    </row>
    <row r="562" spans="5:8">
      <c r="E562" s="6" t="s">
        <v>310</v>
      </c>
      <c r="F562" s="6" t="s">
        <v>272</v>
      </c>
      <c r="G562" s="8">
        <v>0</v>
      </c>
      <c r="H562" s="16">
        <f t="shared" si="36"/>
        <v>0</v>
      </c>
    </row>
    <row r="563" spans="5:8">
      <c r="E563" s="6" t="s">
        <v>310</v>
      </c>
      <c r="F563" s="6" t="s">
        <v>273</v>
      </c>
      <c r="G563" s="8">
        <v>0</v>
      </c>
      <c r="H563" s="16">
        <f t="shared" si="36"/>
        <v>0</v>
      </c>
    </row>
    <row r="564" spans="5:8">
      <c r="E564" s="6" t="s">
        <v>310</v>
      </c>
      <c r="F564" s="6" t="s">
        <v>132</v>
      </c>
      <c r="G564" s="8">
        <v>0</v>
      </c>
      <c r="H564" s="16">
        <f t="shared" si="36"/>
        <v>0</v>
      </c>
    </row>
    <row r="565" spans="5:8">
      <c r="E565" s="6" t="s">
        <v>310</v>
      </c>
      <c r="F565" s="6" t="s">
        <v>261</v>
      </c>
      <c r="G565" s="8">
        <v>0</v>
      </c>
      <c r="H565" s="16">
        <f t="shared" si="36"/>
        <v>0</v>
      </c>
    </row>
    <row r="566" spans="5:8">
      <c r="E566" s="6" t="s">
        <v>310</v>
      </c>
      <c r="F566" s="6" t="s">
        <v>262</v>
      </c>
      <c r="G566" s="8">
        <v>0</v>
      </c>
      <c r="H566" s="16">
        <f t="shared" si="36"/>
        <v>0</v>
      </c>
    </row>
    <row r="567" spans="5:8">
      <c r="E567" s="6" t="s">
        <v>311</v>
      </c>
      <c r="F567" s="6" t="s">
        <v>281</v>
      </c>
      <c r="G567" s="8">
        <v>0</v>
      </c>
      <c r="H567" s="16">
        <f t="shared" si="36"/>
        <v>0</v>
      </c>
    </row>
    <row r="568" spans="5:8">
      <c r="E568" s="6" t="s">
        <v>311</v>
      </c>
      <c r="F568" s="6" t="s">
        <v>282</v>
      </c>
      <c r="G568" s="8">
        <v>0</v>
      </c>
      <c r="H568" s="16">
        <f t="shared" si="36"/>
        <v>0</v>
      </c>
    </row>
    <row r="569" spans="5:8">
      <c r="E569" s="6" t="s">
        <v>311</v>
      </c>
      <c r="F569" s="6" t="s">
        <v>283</v>
      </c>
      <c r="G569" s="8">
        <v>0</v>
      </c>
      <c r="H569" s="16">
        <f t="shared" si="36"/>
        <v>0</v>
      </c>
    </row>
    <row r="570" spans="5:8">
      <c r="E570" s="6" t="s">
        <v>311</v>
      </c>
      <c r="F570" s="6" t="s">
        <v>284</v>
      </c>
      <c r="G570" s="8">
        <v>0</v>
      </c>
      <c r="H570" s="16">
        <f t="shared" si="36"/>
        <v>0</v>
      </c>
    </row>
    <row r="571" spans="5:8">
      <c r="E571" s="6" t="s">
        <v>311</v>
      </c>
      <c r="F571" s="6" t="s">
        <v>160</v>
      </c>
      <c r="G571" s="8">
        <v>0</v>
      </c>
      <c r="H571" s="16">
        <f t="shared" si="36"/>
        <v>0</v>
      </c>
    </row>
    <row r="572" spans="5:8">
      <c r="E572" s="6" t="s">
        <v>311</v>
      </c>
      <c r="F572" s="6" t="s">
        <v>264</v>
      </c>
      <c r="G572" s="8">
        <v>0</v>
      </c>
      <c r="H572" s="16">
        <f t="shared" si="36"/>
        <v>0</v>
      </c>
    </row>
    <row r="573" spans="5:8">
      <c r="E573" s="6" t="s">
        <v>311</v>
      </c>
      <c r="F573" s="6" t="s">
        <v>265</v>
      </c>
      <c r="G573" s="8">
        <v>0</v>
      </c>
      <c r="H573" s="16">
        <f t="shared" si="36"/>
        <v>0</v>
      </c>
    </row>
    <row r="574" spans="5:8">
      <c r="E574" s="6" t="s">
        <v>311</v>
      </c>
      <c r="F574" s="6" t="s">
        <v>266</v>
      </c>
      <c r="G574" s="8">
        <v>0</v>
      </c>
      <c r="H574" s="16">
        <f t="shared" si="36"/>
        <v>0</v>
      </c>
    </row>
    <row r="575" spans="5:8">
      <c r="E575" s="6" t="s">
        <v>311</v>
      </c>
      <c r="F575" s="6" t="s">
        <v>112</v>
      </c>
      <c r="G575" s="8">
        <v>0</v>
      </c>
      <c r="H575" s="16">
        <f t="shared" si="36"/>
        <v>0</v>
      </c>
    </row>
    <row r="576" spans="5:8">
      <c r="E576" s="6" t="s">
        <v>311</v>
      </c>
      <c r="F576" s="6" t="s">
        <v>267</v>
      </c>
      <c r="G576" s="8">
        <v>0</v>
      </c>
      <c r="H576" s="16">
        <f t="shared" si="36"/>
        <v>0</v>
      </c>
    </row>
    <row r="577" spans="5:8">
      <c r="E577" s="6" t="s">
        <v>311</v>
      </c>
      <c r="F577" s="6" t="s">
        <v>268</v>
      </c>
      <c r="G577" s="8">
        <v>0</v>
      </c>
      <c r="H577" s="16">
        <f t="shared" si="36"/>
        <v>0</v>
      </c>
    </row>
    <row r="578" spans="5:8">
      <c r="E578" s="6" t="s">
        <v>311</v>
      </c>
      <c r="F578" s="6" t="s">
        <v>269</v>
      </c>
      <c r="G578" s="8">
        <v>0</v>
      </c>
      <c r="H578" s="16">
        <f t="shared" si="36"/>
        <v>0</v>
      </c>
    </row>
    <row r="579" spans="5:8">
      <c r="E579" s="6" t="s">
        <v>311</v>
      </c>
      <c r="F579" s="6" t="s">
        <v>270</v>
      </c>
      <c r="G579" s="8">
        <v>0</v>
      </c>
      <c r="H579" s="16">
        <f t="shared" ref="H579:H642" si="37">IF(G579=0,0,1)</f>
        <v>0</v>
      </c>
    </row>
    <row r="580" spans="5:8">
      <c r="E580" s="6" t="s">
        <v>311</v>
      </c>
      <c r="F580" s="6" t="s">
        <v>271</v>
      </c>
      <c r="G580" s="8">
        <v>0</v>
      </c>
      <c r="H580" s="16">
        <f t="shared" si="37"/>
        <v>0</v>
      </c>
    </row>
    <row r="581" spans="5:8">
      <c r="E581" s="6" t="s">
        <v>311</v>
      </c>
      <c r="F581" s="6" t="s">
        <v>272</v>
      </c>
      <c r="G581" s="8">
        <v>0</v>
      </c>
      <c r="H581" s="16">
        <f t="shared" si="37"/>
        <v>0</v>
      </c>
    </row>
    <row r="582" spans="5:8">
      <c r="E582" s="6" t="s">
        <v>311</v>
      </c>
      <c r="F582" s="6" t="s">
        <v>273</v>
      </c>
      <c r="G582" s="8">
        <v>0</v>
      </c>
      <c r="H582" s="16">
        <f t="shared" si="37"/>
        <v>0</v>
      </c>
    </row>
    <row r="583" spans="5:8">
      <c r="E583" s="6" t="s">
        <v>311</v>
      </c>
      <c r="F583" s="6" t="s">
        <v>132</v>
      </c>
      <c r="G583" s="8">
        <v>0</v>
      </c>
      <c r="H583" s="16">
        <f t="shared" si="37"/>
        <v>0</v>
      </c>
    </row>
    <row r="584" spans="5:8">
      <c r="E584" s="6" t="s">
        <v>311</v>
      </c>
      <c r="F584" s="6" t="s">
        <v>261</v>
      </c>
      <c r="G584" s="8">
        <v>0</v>
      </c>
      <c r="H584" s="16">
        <f t="shared" si="37"/>
        <v>0</v>
      </c>
    </row>
    <row r="585" spans="5:8">
      <c r="E585" s="6" t="s">
        <v>311</v>
      </c>
      <c r="F585" s="6" t="s">
        <v>262</v>
      </c>
      <c r="G585" s="8">
        <v>0</v>
      </c>
      <c r="H585" s="16">
        <f t="shared" si="37"/>
        <v>0</v>
      </c>
    </row>
    <row r="586" spans="5:8">
      <c r="E586" s="6" t="s">
        <v>312</v>
      </c>
      <c r="F586" s="6" t="s">
        <v>268</v>
      </c>
      <c r="G586" s="8">
        <v>0</v>
      </c>
      <c r="H586" s="16">
        <f t="shared" si="37"/>
        <v>0</v>
      </c>
    </row>
    <row r="587" spans="5:8">
      <c r="E587" s="6" t="s">
        <v>312</v>
      </c>
      <c r="F587" s="6" t="s">
        <v>269</v>
      </c>
      <c r="G587" s="8">
        <v>0</v>
      </c>
      <c r="H587" s="16">
        <f t="shared" si="37"/>
        <v>0</v>
      </c>
    </row>
    <row r="588" spans="5:8">
      <c r="E588" s="6" t="s">
        <v>312</v>
      </c>
      <c r="F588" s="6" t="s">
        <v>270</v>
      </c>
      <c r="G588" s="8">
        <v>0</v>
      </c>
      <c r="H588" s="16">
        <f t="shared" si="37"/>
        <v>0</v>
      </c>
    </row>
    <row r="589" spans="5:8">
      <c r="E589" s="6" t="s">
        <v>312</v>
      </c>
      <c r="F589" s="6" t="s">
        <v>271</v>
      </c>
      <c r="G589" s="8">
        <v>0</v>
      </c>
      <c r="H589" s="16">
        <f t="shared" si="37"/>
        <v>0</v>
      </c>
    </row>
    <row r="590" spans="5:8">
      <c r="E590" s="6" t="s">
        <v>312</v>
      </c>
      <c r="F590" s="6" t="s">
        <v>272</v>
      </c>
      <c r="G590" s="8">
        <v>0</v>
      </c>
      <c r="H590" s="16">
        <f t="shared" si="37"/>
        <v>0</v>
      </c>
    </row>
    <row r="591" spans="5:8">
      <c r="E591" s="6" t="s">
        <v>312</v>
      </c>
      <c r="F591" s="6" t="s">
        <v>273</v>
      </c>
      <c r="G591" s="8">
        <v>0</v>
      </c>
      <c r="H591" s="16">
        <f t="shared" si="37"/>
        <v>0</v>
      </c>
    </row>
    <row r="592" spans="5:8">
      <c r="E592" s="6" t="s">
        <v>312</v>
      </c>
      <c r="F592" s="6" t="s">
        <v>132</v>
      </c>
      <c r="G592" s="8">
        <v>0</v>
      </c>
      <c r="H592" s="16">
        <f t="shared" si="37"/>
        <v>0</v>
      </c>
    </row>
    <row r="593" spans="5:8">
      <c r="E593" s="6" t="s">
        <v>312</v>
      </c>
      <c r="F593" s="6" t="s">
        <v>261</v>
      </c>
      <c r="G593" s="8">
        <v>0</v>
      </c>
      <c r="H593" s="16">
        <f t="shared" si="37"/>
        <v>0</v>
      </c>
    </row>
    <row r="594" spans="5:8">
      <c r="E594" s="6" t="s">
        <v>312</v>
      </c>
      <c r="F594" s="6" t="s">
        <v>262</v>
      </c>
      <c r="G594" s="8">
        <v>0</v>
      </c>
      <c r="H594" s="16">
        <f t="shared" si="37"/>
        <v>0</v>
      </c>
    </row>
    <row r="595" spans="5:8">
      <c r="E595" s="6" t="s">
        <v>313</v>
      </c>
      <c r="F595" s="6" t="s">
        <v>132</v>
      </c>
      <c r="G595" s="8">
        <v>0</v>
      </c>
      <c r="H595" s="16">
        <f t="shared" si="37"/>
        <v>0</v>
      </c>
    </row>
    <row r="596" spans="5:8">
      <c r="E596" s="6" t="s">
        <v>313</v>
      </c>
      <c r="F596" s="6" t="s">
        <v>261</v>
      </c>
      <c r="G596" s="8">
        <v>0</v>
      </c>
      <c r="H596" s="16">
        <f t="shared" si="37"/>
        <v>0</v>
      </c>
    </row>
    <row r="597" spans="5:8">
      <c r="E597" s="6" t="s">
        <v>313</v>
      </c>
      <c r="F597" s="6" t="s">
        <v>262</v>
      </c>
      <c r="G597" s="8">
        <v>0</v>
      </c>
      <c r="H597" s="16">
        <f t="shared" si="37"/>
        <v>0</v>
      </c>
    </row>
    <row r="598" spans="5:8">
      <c r="E598" s="6" t="s">
        <v>314</v>
      </c>
      <c r="F598" s="6" t="s">
        <v>279</v>
      </c>
      <c r="G598" s="8">
        <v>0</v>
      </c>
      <c r="H598" s="16">
        <f t="shared" si="37"/>
        <v>0</v>
      </c>
    </row>
    <row r="599" spans="5:8">
      <c r="E599" s="6" t="s">
        <v>314</v>
      </c>
      <c r="F599" s="6" t="s">
        <v>280</v>
      </c>
      <c r="G599" s="8">
        <v>0</v>
      </c>
      <c r="H599" s="16">
        <f t="shared" si="37"/>
        <v>0</v>
      </c>
    </row>
    <row r="600" spans="5:8">
      <c r="E600" s="6" t="s">
        <v>314</v>
      </c>
      <c r="F600" s="6" t="s">
        <v>281</v>
      </c>
      <c r="G600" s="8">
        <v>0</v>
      </c>
      <c r="H600" s="16">
        <f t="shared" si="37"/>
        <v>0</v>
      </c>
    </row>
    <row r="601" spans="5:8">
      <c r="E601" s="6" t="s">
        <v>314</v>
      </c>
      <c r="F601" s="6" t="s">
        <v>282</v>
      </c>
      <c r="G601" s="8">
        <v>0</v>
      </c>
      <c r="H601" s="16">
        <f t="shared" si="37"/>
        <v>0</v>
      </c>
    </row>
    <row r="602" spans="5:8">
      <c r="E602" s="6" t="s">
        <v>314</v>
      </c>
      <c r="F602" s="6" t="s">
        <v>283</v>
      </c>
      <c r="G602" s="8">
        <v>0</v>
      </c>
      <c r="H602" s="16">
        <f t="shared" si="37"/>
        <v>0</v>
      </c>
    </row>
    <row r="603" spans="5:8">
      <c r="E603" s="6" t="s">
        <v>314</v>
      </c>
      <c r="F603" s="6" t="s">
        <v>284</v>
      </c>
      <c r="G603" s="8">
        <v>0</v>
      </c>
      <c r="H603" s="16">
        <f t="shared" si="37"/>
        <v>0</v>
      </c>
    </row>
    <row r="604" spans="5:8">
      <c r="E604" s="6" t="s">
        <v>314</v>
      </c>
      <c r="F604" s="6" t="s">
        <v>160</v>
      </c>
      <c r="G604" s="8">
        <v>0</v>
      </c>
      <c r="H604" s="16">
        <f t="shared" si="37"/>
        <v>0</v>
      </c>
    </row>
    <row r="605" spans="5:8">
      <c r="E605" s="6" t="s">
        <v>314</v>
      </c>
      <c r="F605" s="6" t="s">
        <v>264</v>
      </c>
      <c r="G605" s="8">
        <v>0</v>
      </c>
      <c r="H605" s="16">
        <f t="shared" si="37"/>
        <v>0</v>
      </c>
    </row>
    <row r="606" spans="5:8">
      <c r="E606" s="6" t="s">
        <v>314</v>
      </c>
      <c r="F606" s="6" t="s">
        <v>265</v>
      </c>
      <c r="G606" s="8">
        <v>0</v>
      </c>
      <c r="H606" s="16">
        <f t="shared" si="37"/>
        <v>0</v>
      </c>
    </row>
    <row r="607" spans="5:8">
      <c r="E607" s="6" t="s">
        <v>314</v>
      </c>
      <c r="F607" s="6" t="s">
        <v>266</v>
      </c>
      <c r="G607" s="8">
        <v>0</v>
      </c>
      <c r="H607" s="16">
        <f t="shared" si="37"/>
        <v>0</v>
      </c>
    </row>
    <row r="608" spans="5:8">
      <c r="E608" s="6" t="s">
        <v>314</v>
      </c>
      <c r="F608" s="6" t="s">
        <v>112</v>
      </c>
      <c r="G608" s="8">
        <v>0</v>
      </c>
      <c r="H608" s="16">
        <f t="shared" si="37"/>
        <v>0</v>
      </c>
    </row>
    <row r="609" spans="5:8">
      <c r="E609" s="6" t="s">
        <v>314</v>
      </c>
      <c r="F609" s="6" t="s">
        <v>267</v>
      </c>
      <c r="G609" s="8">
        <v>0</v>
      </c>
      <c r="H609" s="16">
        <f t="shared" si="37"/>
        <v>0</v>
      </c>
    </row>
    <row r="610" spans="5:8">
      <c r="E610" s="6" t="s">
        <v>314</v>
      </c>
      <c r="F610" s="6" t="s">
        <v>268</v>
      </c>
      <c r="G610" s="8">
        <v>0</v>
      </c>
      <c r="H610" s="16">
        <f t="shared" si="37"/>
        <v>0</v>
      </c>
    </row>
    <row r="611" spans="5:8">
      <c r="E611" s="6" t="s">
        <v>314</v>
      </c>
      <c r="F611" s="6" t="s">
        <v>269</v>
      </c>
      <c r="G611" s="8">
        <v>0</v>
      </c>
      <c r="H611" s="16">
        <f t="shared" si="37"/>
        <v>0</v>
      </c>
    </row>
    <row r="612" spans="5:8">
      <c r="E612" s="6" t="s">
        <v>314</v>
      </c>
      <c r="F612" s="6" t="s">
        <v>270</v>
      </c>
      <c r="G612" s="8">
        <v>0</v>
      </c>
      <c r="H612" s="16">
        <f t="shared" si="37"/>
        <v>0</v>
      </c>
    </row>
    <row r="613" spans="5:8">
      <c r="E613" s="6" t="s">
        <v>314</v>
      </c>
      <c r="F613" s="6" t="s">
        <v>271</v>
      </c>
      <c r="G613" s="8">
        <v>0</v>
      </c>
      <c r="H613" s="16">
        <f t="shared" si="37"/>
        <v>0</v>
      </c>
    </row>
    <row r="614" spans="5:8">
      <c r="E614" s="6" t="s">
        <v>314</v>
      </c>
      <c r="F614" s="6" t="s">
        <v>272</v>
      </c>
      <c r="G614" s="8">
        <v>0</v>
      </c>
      <c r="H614" s="16">
        <f t="shared" si="37"/>
        <v>0</v>
      </c>
    </row>
    <row r="615" spans="5:8">
      <c r="E615" s="6" t="s">
        <v>314</v>
      </c>
      <c r="F615" s="6" t="s">
        <v>273</v>
      </c>
      <c r="G615" s="8">
        <v>0</v>
      </c>
      <c r="H615" s="16">
        <f t="shared" si="37"/>
        <v>0</v>
      </c>
    </row>
    <row r="616" spans="5:8">
      <c r="E616" s="6" t="s">
        <v>314</v>
      </c>
      <c r="F616" s="6" t="s">
        <v>132</v>
      </c>
      <c r="G616" s="8">
        <v>0</v>
      </c>
      <c r="H616" s="16">
        <f t="shared" si="37"/>
        <v>0</v>
      </c>
    </row>
    <row r="617" spans="5:8">
      <c r="E617" s="6" t="s">
        <v>314</v>
      </c>
      <c r="F617" s="6" t="s">
        <v>261</v>
      </c>
      <c r="G617" s="8">
        <v>0</v>
      </c>
      <c r="H617" s="16">
        <f t="shared" si="37"/>
        <v>0</v>
      </c>
    </row>
    <row r="618" spans="5:8">
      <c r="E618" s="6" t="s">
        <v>314</v>
      </c>
      <c r="F618" s="6" t="s">
        <v>262</v>
      </c>
      <c r="G618" s="8">
        <v>0</v>
      </c>
      <c r="H618" s="16">
        <f t="shared" si="37"/>
        <v>0</v>
      </c>
    </row>
    <row r="619" spans="5:8">
      <c r="E619" s="6" t="s">
        <v>315</v>
      </c>
      <c r="F619" s="6" t="s">
        <v>280</v>
      </c>
      <c r="G619" s="8">
        <v>0</v>
      </c>
      <c r="H619" s="16">
        <f t="shared" si="37"/>
        <v>0</v>
      </c>
    </row>
    <row r="620" spans="5:8">
      <c r="E620" s="6" t="s">
        <v>315</v>
      </c>
      <c r="F620" s="6" t="s">
        <v>282</v>
      </c>
      <c r="G620" s="8">
        <v>0</v>
      </c>
      <c r="H620" s="16">
        <f t="shared" si="37"/>
        <v>0</v>
      </c>
    </row>
    <row r="621" spans="5:8">
      <c r="E621" s="6" t="s">
        <v>315</v>
      </c>
      <c r="F621" s="6" t="s">
        <v>283</v>
      </c>
      <c r="G621" s="8">
        <v>0</v>
      </c>
      <c r="H621" s="16">
        <f t="shared" si="37"/>
        <v>0</v>
      </c>
    </row>
    <row r="622" spans="5:8">
      <c r="E622" s="6" t="s">
        <v>315</v>
      </c>
      <c r="F622" s="6" t="s">
        <v>160</v>
      </c>
      <c r="G622" s="8">
        <v>0</v>
      </c>
      <c r="H622" s="16">
        <f t="shared" si="37"/>
        <v>0</v>
      </c>
    </row>
    <row r="623" spans="5:8">
      <c r="E623" s="6" t="s">
        <v>315</v>
      </c>
      <c r="F623" s="6" t="s">
        <v>264</v>
      </c>
      <c r="G623" s="8">
        <v>0</v>
      </c>
      <c r="H623" s="16">
        <f t="shared" si="37"/>
        <v>0</v>
      </c>
    </row>
    <row r="624" spans="5:8">
      <c r="E624" s="6" t="s">
        <v>315</v>
      </c>
      <c r="F624" s="6" t="s">
        <v>265</v>
      </c>
      <c r="G624" s="8">
        <v>0</v>
      </c>
      <c r="H624" s="16">
        <f t="shared" si="37"/>
        <v>0</v>
      </c>
    </row>
    <row r="625" spans="5:8">
      <c r="E625" s="6" t="s">
        <v>315</v>
      </c>
      <c r="F625" s="6" t="s">
        <v>266</v>
      </c>
      <c r="G625" s="8">
        <v>0</v>
      </c>
      <c r="H625" s="16">
        <f t="shared" si="37"/>
        <v>0</v>
      </c>
    </row>
    <row r="626" spans="5:8">
      <c r="E626" s="6" t="s">
        <v>315</v>
      </c>
      <c r="F626" s="6" t="s">
        <v>112</v>
      </c>
      <c r="G626" s="8">
        <v>0</v>
      </c>
      <c r="H626" s="16">
        <f t="shared" si="37"/>
        <v>0</v>
      </c>
    </row>
    <row r="627" spans="5:8">
      <c r="E627" s="6" t="s">
        <v>315</v>
      </c>
      <c r="F627" s="6" t="s">
        <v>267</v>
      </c>
      <c r="G627" s="8">
        <v>0</v>
      </c>
      <c r="H627" s="16">
        <f t="shared" si="37"/>
        <v>0</v>
      </c>
    </row>
    <row r="628" spans="5:8">
      <c r="E628" s="6" t="s">
        <v>315</v>
      </c>
      <c r="F628" s="6" t="s">
        <v>268</v>
      </c>
      <c r="G628" s="8">
        <v>0</v>
      </c>
      <c r="H628" s="16">
        <f t="shared" si="37"/>
        <v>0</v>
      </c>
    </row>
    <row r="629" spans="5:8">
      <c r="E629" s="6" t="s">
        <v>315</v>
      </c>
      <c r="F629" s="6" t="s">
        <v>269</v>
      </c>
      <c r="G629" s="8">
        <v>0</v>
      </c>
      <c r="H629" s="16">
        <f t="shared" si="37"/>
        <v>0</v>
      </c>
    </row>
    <row r="630" spans="5:8">
      <c r="E630" s="6" t="s">
        <v>315</v>
      </c>
      <c r="F630" s="6" t="s">
        <v>270</v>
      </c>
      <c r="G630" s="8">
        <v>0</v>
      </c>
      <c r="H630" s="16">
        <f t="shared" si="37"/>
        <v>0</v>
      </c>
    </row>
    <row r="631" spans="5:8">
      <c r="E631" s="6" t="s">
        <v>315</v>
      </c>
      <c r="F631" s="6" t="s">
        <v>271</v>
      </c>
      <c r="G631" s="8">
        <v>6</v>
      </c>
      <c r="H631" s="16">
        <f t="shared" si="37"/>
        <v>1</v>
      </c>
    </row>
    <row r="632" spans="5:8">
      <c r="E632" s="6" t="s">
        <v>315</v>
      </c>
      <c r="F632" s="6" t="s">
        <v>272</v>
      </c>
      <c r="G632" s="8">
        <v>10</v>
      </c>
      <c r="H632" s="16">
        <f t="shared" si="37"/>
        <v>1</v>
      </c>
    </row>
    <row r="633" spans="5:8">
      <c r="E633" s="6" t="s">
        <v>315</v>
      </c>
      <c r="F633" s="6" t="s">
        <v>273</v>
      </c>
      <c r="G633" s="8">
        <v>0</v>
      </c>
      <c r="H633" s="16">
        <f t="shared" si="37"/>
        <v>0</v>
      </c>
    </row>
    <row r="634" spans="5:8">
      <c r="E634" s="6" t="s">
        <v>315</v>
      </c>
      <c r="F634" s="6" t="s">
        <v>132</v>
      </c>
      <c r="G634" s="8">
        <v>6</v>
      </c>
      <c r="H634" s="16">
        <f t="shared" si="37"/>
        <v>1</v>
      </c>
    </row>
    <row r="635" spans="5:8">
      <c r="E635" s="6" t="s">
        <v>315</v>
      </c>
      <c r="F635" s="6" t="s">
        <v>261</v>
      </c>
      <c r="G635" s="8">
        <v>0</v>
      </c>
      <c r="H635" s="16">
        <f t="shared" si="37"/>
        <v>0</v>
      </c>
    </row>
    <row r="636" spans="5:8">
      <c r="E636" s="6" t="s">
        <v>315</v>
      </c>
      <c r="F636" s="6" t="s">
        <v>262</v>
      </c>
      <c r="G636" s="8">
        <v>0</v>
      </c>
      <c r="H636" s="16">
        <f t="shared" si="37"/>
        <v>0</v>
      </c>
    </row>
    <row r="637" spans="5:8">
      <c r="E637" s="6" t="s">
        <v>316</v>
      </c>
      <c r="F637" s="6" t="s">
        <v>280</v>
      </c>
      <c r="G637" s="8">
        <v>0</v>
      </c>
      <c r="H637" s="16">
        <f t="shared" si="37"/>
        <v>0</v>
      </c>
    </row>
    <row r="638" spans="5:8">
      <c r="E638" s="6" t="s">
        <v>316</v>
      </c>
      <c r="F638" s="6" t="s">
        <v>281</v>
      </c>
      <c r="G638" s="8">
        <v>0</v>
      </c>
      <c r="H638" s="16">
        <f t="shared" si="37"/>
        <v>0</v>
      </c>
    </row>
    <row r="639" spans="5:8">
      <c r="E639" s="6" t="s">
        <v>316</v>
      </c>
      <c r="F639" s="6" t="s">
        <v>160</v>
      </c>
      <c r="G639" s="8">
        <v>0</v>
      </c>
      <c r="H639" s="16">
        <f t="shared" si="37"/>
        <v>0</v>
      </c>
    </row>
    <row r="640" spans="5:8">
      <c r="E640" s="6" t="s">
        <v>316</v>
      </c>
      <c r="F640" s="6" t="s">
        <v>264</v>
      </c>
      <c r="G640" s="8">
        <v>0</v>
      </c>
      <c r="H640" s="16">
        <f t="shared" si="37"/>
        <v>0</v>
      </c>
    </row>
    <row r="641" spans="5:8">
      <c r="E641" s="6" t="s">
        <v>316</v>
      </c>
      <c r="F641" s="6" t="s">
        <v>265</v>
      </c>
      <c r="G641" s="8">
        <v>0</v>
      </c>
      <c r="H641" s="16">
        <f t="shared" si="37"/>
        <v>0</v>
      </c>
    </row>
    <row r="642" spans="5:8">
      <c r="E642" s="6" t="s">
        <v>316</v>
      </c>
      <c r="F642" s="6" t="s">
        <v>112</v>
      </c>
      <c r="G642" s="8">
        <v>4</v>
      </c>
      <c r="H642" s="16">
        <f t="shared" si="37"/>
        <v>1</v>
      </c>
    </row>
    <row r="643" spans="5:8">
      <c r="E643" s="6" t="s">
        <v>316</v>
      </c>
      <c r="F643" s="6" t="s">
        <v>267</v>
      </c>
      <c r="G643" s="8">
        <v>7</v>
      </c>
      <c r="H643" s="16">
        <f t="shared" ref="H643:H706" si="38">IF(G643=0,0,1)</f>
        <v>1</v>
      </c>
    </row>
    <row r="644" spans="5:8">
      <c r="E644" s="6" t="s">
        <v>316</v>
      </c>
      <c r="F644" s="6" t="s">
        <v>268</v>
      </c>
      <c r="G644" s="8">
        <v>4</v>
      </c>
      <c r="H644" s="16">
        <f t="shared" si="38"/>
        <v>1</v>
      </c>
    </row>
    <row r="645" spans="5:8">
      <c r="E645" s="6" t="s">
        <v>316</v>
      </c>
      <c r="F645" s="6" t="s">
        <v>269</v>
      </c>
      <c r="G645" s="8">
        <v>0</v>
      </c>
      <c r="H645" s="16">
        <f t="shared" si="38"/>
        <v>0</v>
      </c>
    </row>
    <row r="646" spans="5:8">
      <c r="E646" s="6" t="s">
        <v>316</v>
      </c>
      <c r="F646" s="6" t="s">
        <v>270</v>
      </c>
      <c r="G646" s="8">
        <v>0</v>
      </c>
      <c r="H646" s="16">
        <f t="shared" si="38"/>
        <v>0</v>
      </c>
    </row>
    <row r="647" spans="5:8">
      <c r="E647" s="6" t="s">
        <v>316</v>
      </c>
      <c r="F647" s="6" t="s">
        <v>271</v>
      </c>
      <c r="G647" s="8">
        <v>0</v>
      </c>
      <c r="H647" s="16">
        <f t="shared" si="38"/>
        <v>0</v>
      </c>
    </row>
    <row r="648" spans="5:8">
      <c r="E648" s="6" t="s">
        <v>316</v>
      </c>
      <c r="F648" s="6" t="s">
        <v>272</v>
      </c>
      <c r="G648" s="8">
        <v>0</v>
      </c>
      <c r="H648" s="16">
        <f t="shared" si="38"/>
        <v>0</v>
      </c>
    </row>
    <row r="649" spans="5:8">
      <c r="E649" s="6" t="s">
        <v>316</v>
      </c>
      <c r="F649" s="6" t="s">
        <v>273</v>
      </c>
      <c r="G649" s="8">
        <v>4</v>
      </c>
      <c r="H649" s="16">
        <f t="shared" si="38"/>
        <v>1</v>
      </c>
    </row>
    <row r="650" spans="5:8">
      <c r="E650" s="6" t="s">
        <v>316</v>
      </c>
      <c r="F650" s="6" t="s">
        <v>132</v>
      </c>
      <c r="G650" s="8">
        <v>0</v>
      </c>
      <c r="H650" s="16">
        <f t="shared" si="38"/>
        <v>0</v>
      </c>
    </row>
    <row r="651" spans="5:8">
      <c r="E651" s="6" t="s">
        <v>316</v>
      </c>
      <c r="F651" s="6" t="s">
        <v>261</v>
      </c>
      <c r="G651" s="8">
        <v>24</v>
      </c>
      <c r="H651" s="16">
        <f t="shared" si="38"/>
        <v>1</v>
      </c>
    </row>
    <row r="652" spans="5:8">
      <c r="E652" s="6" t="s">
        <v>316</v>
      </c>
      <c r="F652" s="6" t="s">
        <v>262</v>
      </c>
      <c r="G652" s="8">
        <v>0</v>
      </c>
      <c r="H652" s="16">
        <f t="shared" si="38"/>
        <v>0</v>
      </c>
    </row>
    <row r="653" spans="5:8">
      <c r="E653" s="6" t="s">
        <v>317</v>
      </c>
      <c r="F653" s="6" t="s">
        <v>269</v>
      </c>
      <c r="G653" s="8">
        <v>0</v>
      </c>
      <c r="H653" s="16">
        <f t="shared" si="38"/>
        <v>0</v>
      </c>
    </row>
    <row r="654" spans="5:8">
      <c r="E654" s="6" t="s">
        <v>317</v>
      </c>
      <c r="F654" s="6" t="s">
        <v>270</v>
      </c>
      <c r="G654" s="8">
        <v>0</v>
      </c>
      <c r="H654" s="16">
        <f t="shared" si="38"/>
        <v>0</v>
      </c>
    </row>
    <row r="655" spans="5:8">
      <c r="E655" s="6" t="s">
        <v>317</v>
      </c>
      <c r="F655" s="6" t="s">
        <v>271</v>
      </c>
      <c r="G655" s="8">
        <v>0</v>
      </c>
      <c r="H655" s="16">
        <f t="shared" si="38"/>
        <v>0</v>
      </c>
    </row>
    <row r="656" spans="5:8">
      <c r="E656" s="6" t="s">
        <v>317</v>
      </c>
      <c r="F656" s="6" t="s">
        <v>272</v>
      </c>
      <c r="G656" s="8">
        <v>0</v>
      </c>
      <c r="H656" s="16">
        <f t="shared" si="38"/>
        <v>0</v>
      </c>
    </row>
    <row r="657" spans="5:8">
      <c r="E657" s="6" t="s">
        <v>317</v>
      </c>
      <c r="F657" s="6" t="s">
        <v>273</v>
      </c>
      <c r="G657" s="8">
        <v>0</v>
      </c>
      <c r="H657" s="16">
        <f t="shared" si="38"/>
        <v>0</v>
      </c>
    </row>
    <row r="658" spans="5:8">
      <c r="E658" s="6" t="s">
        <v>317</v>
      </c>
      <c r="F658" s="6" t="s">
        <v>132</v>
      </c>
      <c r="G658" s="8">
        <v>0</v>
      </c>
      <c r="H658" s="16">
        <f t="shared" si="38"/>
        <v>0</v>
      </c>
    </row>
    <row r="659" spans="5:8">
      <c r="E659" s="6" t="s">
        <v>317</v>
      </c>
      <c r="F659" s="6" t="s">
        <v>261</v>
      </c>
      <c r="G659" s="8">
        <v>0</v>
      </c>
      <c r="H659" s="16">
        <f t="shared" si="38"/>
        <v>0</v>
      </c>
    </row>
    <row r="660" spans="5:8">
      <c r="E660" s="6" t="s">
        <v>317</v>
      </c>
      <c r="F660" s="6" t="s">
        <v>262</v>
      </c>
      <c r="G660" s="8">
        <v>0</v>
      </c>
      <c r="H660" s="16">
        <f t="shared" si="38"/>
        <v>0</v>
      </c>
    </row>
    <row r="661" spans="5:8">
      <c r="E661" s="6" t="s">
        <v>318</v>
      </c>
      <c r="F661" s="6" t="s">
        <v>262</v>
      </c>
      <c r="G661" s="8">
        <v>0</v>
      </c>
      <c r="H661" s="16">
        <f t="shared" si="38"/>
        <v>0</v>
      </c>
    </row>
    <row r="662" spans="5:8">
      <c r="E662" s="6" t="s">
        <v>318</v>
      </c>
      <c r="F662" s="6" t="s">
        <v>303</v>
      </c>
      <c r="G662" s="8">
        <v>14</v>
      </c>
      <c r="H662" s="16">
        <f t="shared" si="38"/>
        <v>1</v>
      </c>
    </row>
    <row r="663" spans="5:8">
      <c r="E663" s="6" t="s">
        <v>318</v>
      </c>
      <c r="F663" s="6" t="s">
        <v>296</v>
      </c>
      <c r="G663" s="8">
        <v>0</v>
      </c>
      <c r="H663" s="16">
        <f t="shared" si="38"/>
        <v>0</v>
      </c>
    </row>
    <row r="664" spans="5:8">
      <c r="E664" s="6" t="s">
        <v>319</v>
      </c>
      <c r="F664" s="6" t="s">
        <v>112</v>
      </c>
      <c r="G664" s="8">
        <v>0</v>
      </c>
      <c r="H664" s="16">
        <f t="shared" si="38"/>
        <v>0</v>
      </c>
    </row>
    <row r="665" spans="5:8">
      <c r="E665" s="6" t="s">
        <v>319</v>
      </c>
      <c r="F665" s="6" t="s">
        <v>267</v>
      </c>
      <c r="G665" s="8">
        <v>0</v>
      </c>
      <c r="H665" s="16">
        <f t="shared" si="38"/>
        <v>0</v>
      </c>
    </row>
    <row r="666" spans="5:8">
      <c r="E666" s="6" t="s">
        <v>319</v>
      </c>
      <c r="F666" s="6" t="s">
        <v>268</v>
      </c>
      <c r="G666" s="8">
        <v>54</v>
      </c>
      <c r="H666" s="16">
        <f t="shared" si="38"/>
        <v>1</v>
      </c>
    </row>
    <row r="667" spans="5:8">
      <c r="E667" s="6" t="s">
        <v>319</v>
      </c>
      <c r="F667" s="6" t="s">
        <v>269</v>
      </c>
      <c r="G667" s="8">
        <v>0</v>
      </c>
      <c r="H667" s="16">
        <f t="shared" si="38"/>
        <v>0</v>
      </c>
    </row>
    <row r="668" spans="5:8">
      <c r="E668" s="6" t="s">
        <v>319</v>
      </c>
      <c r="F668" s="6" t="s">
        <v>270</v>
      </c>
      <c r="G668" s="8">
        <v>0</v>
      </c>
      <c r="H668" s="16">
        <f t="shared" si="38"/>
        <v>0</v>
      </c>
    </row>
    <row r="669" spans="5:8">
      <c r="E669" s="6" t="s">
        <v>319</v>
      </c>
      <c r="F669" s="6" t="s">
        <v>271</v>
      </c>
      <c r="G669" s="8">
        <v>0</v>
      </c>
      <c r="H669" s="16">
        <f t="shared" si="38"/>
        <v>0</v>
      </c>
    </row>
    <row r="670" spans="5:8">
      <c r="E670" s="6" t="s">
        <v>319</v>
      </c>
      <c r="F670" s="6" t="s">
        <v>272</v>
      </c>
      <c r="G670" s="8">
        <v>0</v>
      </c>
      <c r="H670" s="16">
        <f t="shared" si="38"/>
        <v>0</v>
      </c>
    </row>
    <row r="671" spans="5:8">
      <c r="E671" s="6" t="s">
        <v>319</v>
      </c>
      <c r="F671" s="6" t="s">
        <v>273</v>
      </c>
      <c r="G671" s="8">
        <v>8</v>
      </c>
      <c r="H671" s="16">
        <f t="shared" si="38"/>
        <v>1</v>
      </c>
    </row>
    <row r="672" spans="5:8">
      <c r="E672" s="6" t="s">
        <v>319</v>
      </c>
      <c r="F672" s="6" t="s">
        <v>132</v>
      </c>
      <c r="G672" s="8">
        <v>20</v>
      </c>
      <c r="H672" s="16">
        <f t="shared" si="38"/>
        <v>1</v>
      </c>
    </row>
    <row r="673" spans="5:8">
      <c r="E673" s="6" t="s">
        <v>319</v>
      </c>
      <c r="F673" s="6" t="s">
        <v>261</v>
      </c>
      <c r="G673" s="8">
        <v>0</v>
      </c>
      <c r="H673" s="16">
        <f t="shared" si="38"/>
        <v>0</v>
      </c>
    </row>
    <row r="674" spans="5:8">
      <c r="E674" s="6" t="s">
        <v>320</v>
      </c>
      <c r="F674" s="6" t="s">
        <v>279</v>
      </c>
      <c r="G674" s="8">
        <v>0</v>
      </c>
      <c r="H674" s="16">
        <f t="shared" si="38"/>
        <v>0</v>
      </c>
    </row>
    <row r="675" spans="5:8">
      <c r="E675" s="6" t="s">
        <v>320</v>
      </c>
      <c r="F675" s="6" t="s">
        <v>321</v>
      </c>
      <c r="G675" s="8">
        <v>0</v>
      </c>
      <c r="H675" s="16">
        <f t="shared" si="38"/>
        <v>0</v>
      </c>
    </row>
    <row r="676" spans="5:8">
      <c r="E676" s="6" t="s">
        <v>322</v>
      </c>
      <c r="F676" s="6" t="s">
        <v>321</v>
      </c>
      <c r="G676" s="8">
        <v>0</v>
      </c>
      <c r="H676" s="16">
        <f t="shared" si="38"/>
        <v>0</v>
      </c>
    </row>
    <row r="677" spans="5:8">
      <c r="E677" s="6" t="s">
        <v>323</v>
      </c>
      <c r="F677" s="6" t="s">
        <v>324</v>
      </c>
      <c r="G677" s="8">
        <v>0</v>
      </c>
      <c r="H677" s="16">
        <f t="shared" si="38"/>
        <v>0</v>
      </c>
    </row>
    <row r="678" spans="5:8">
      <c r="E678" s="6" t="s">
        <v>325</v>
      </c>
      <c r="F678" s="6" t="s">
        <v>326</v>
      </c>
      <c r="G678" s="8">
        <v>0</v>
      </c>
      <c r="H678" s="16">
        <f t="shared" si="38"/>
        <v>0</v>
      </c>
    </row>
    <row r="679" spans="5:8">
      <c r="E679" s="6" t="s">
        <v>325</v>
      </c>
      <c r="F679" s="6" t="s">
        <v>327</v>
      </c>
      <c r="G679" s="8">
        <v>0</v>
      </c>
      <c r="H679" s="16">
        <f t="shared" si="38"/>
        <v>0</v>
      </c>
    </row>
    <row r="680" spans="5:8">
      <c r="E680" s="6" t="s">
        <v>328</v>
      </c>
      <c r="F680" s="6" t="s">
        <v>326</v>
      </c>
      <c r="G680" s="8">
        <v>0</v>
      </c>
      <c r="H680" s="16">
        <f t="shared" si="38"/>
        <v>0</v>
      </c>
    </row>
    <row r="681" spans="5:8">
      <c r="E681" s="6" t="s">
        <v>328</v>
      </c>
      <c r="F681" s="6" t="s">
        <v>327</v>
      </c>
      <c r="G681" s="8">
        <v>0</v>
      </c>
      <c r="H681" s="16">
        <f t="shared" si="38"/>
        <v>0</v>
      </c>
    </row>
    <row r="682" spans="5:8">
      <c r="E682" s="6" t="s">
        <v>329</v>
      </c>
      <c r="F682" s="6" t="s">
        <v>330</v>
      </c>
      <c r="G682" s="8">
        <v>0</v>
      </c>
      <c r="H682" s="16">
        <f t="shared" si="38"/>
        <v>0</v>
      </c>
    </row>
    <row r="683" spans="5:8">
      <c r="E683" s="6" t="s">
        <v>331</v>
      </c>
      <c r="F683" s="6" t="s">
        <v>332</v>
      </c>
      <c r="G683" s="8">
        <v>0</v>
      </c>
      <c r="H683" s="16">
        <f t="shared" si="38"/>
        <v>0</v>
      </c>
    </row>
    <row r="684" spans="5:8">
      <c r="E684" s="6" t="s">
        <v>331</v>
      </c>
      <c r="F684" s="6" t="s">
        <v>333</v>
      </c>
      <c r="G684" s="8">
        <v>0</v>
      </c>
      <c r="H684" s="16">
        <f t="shared" si="38"/>
        <v>0</v>
      </c>
    </row>
    <row r="685" spans="5:8">
      <c r="E685" s="6" t="s">
        <v>334</v>
      </c>
      <c r="F685" s="6" t="s">
        <v>229</v>
      </c>
      <c r="G685" s="8">
        <v>15</v>
      </c>
      <c r="H685" s="16">
        <f t="shared" si="38"/>
        <v>1</v>
      </c>
    </row>
    <row r="686" spans="5:8">
      <c r="E686" s="6" t="s">
        <v>335</v>
      </c>
      <c r="F686" s="6" t="s">
        <v>229</v>
      </c>
      <c r="G686" s="8">
        <v>6</v>
      </c>
      <c r="H686" s="16">
        <f t="shared" si="38"/>
        <v>1</v>
      </c>
    </row>
    <row r="687" spans="5:8">
      <c r="E687" s="6" t="s">
        <v>336</v>
      </c>
      <c r="F687" s="6" t="s">
        <v>337</v>
      </c>
      <c r="G687" s="8">
        <v>0</v>
      </c>
      <c r="H687" s="16">
        <f t="shared" si="38"/>
        <v>0</v>
      </c>
    </row>
    <row r="688" spans="5:8">
      <c r="E688" s="6" t="s">
        <v>338</v>
      </c>
      <c r="F688" s="6" t="s">
        <v>339</v>
      </c>
      <c r="G688" s="8">
        <v>0</v>
      </c>
      <c r="H688" s="16">
        <f t="shared" si="38"/>
        <v>0</v>
      </c>
    </row>
    <row r="689" spans="5:8">
      <c r="E689" s="6" t="s">
        <v>338</v>
      </c>
      <c r="F689" s="6" t="s">
        <v>340</v>
      </c>
      <c r="G689" s="8">
        <v>0</v>
      </c>
      <c r="H689" s="16">
        <f t="shared" si="38"/>
        <v>0</v>
      </c>
    </row>
    <row r="690" spans="5:8">
      <c r="E690" s="6" t="s">
        <v>341</v>
      </c>
      <c r="F690" s="6" t="s">
        <v>342</v>
      </c>
      <c r="G690" s="8">
        <v>0</v>
      </c>
      <c r="H690" s="16">
        <f t="shared" si="38"/>
        <v>0</v>
      </c>
    </row>
    <row r="691" spans="5:8">
      <c r="E691" s="6" t="s">
        <v>343</v>
      </c>
      <c r="F691" s="6" t="s">
        <v>344</v>
      </c>
      <c r="G691" s="8">
        <v>0</v>
      </c>
      <c r="H691" s="16">
        <f t="shared" si="38"/>
        <v>0</v>
      </c>
    </row>
    <row r="692" spans="5:8">
      <c r="E692" s="6" t="s">
        <v>343</v>
      </c>
      <c r="F692" s="6" t="s">
        <v>345</v>
      </c>
      <c r="G692" s="8">
        <v>10</v>
      </c>
      <c r="H692" s="16">
        <f t="shared" si="38"/>
        <v>1</v>
      </c>
    </row>
    <row r="693" spans="5:8">
      <c r="E693" s="6" t="s">
        <v>343</v>
      </c>
      <c r="F693" s="6" t="s">
        <v>346</v>
      </c>
      <c r="G693" s="8">
        <v>0</v>
      </c>
      <c r="H693" s="16">
        <f t="shared" si="38"/>
        <v>0</v>
      </c>
    </row>
    <row r="694" spans="5:8">
      <c r="E694" s="6" t="s">
        <v>343</v>
      </c>
      <c r="F694" s="6" t="s">
        <v>347</v>
      </c>
      <c r="G694" s="8">
        <v>0</v>
      </c>
      <c r="H694" s="16">
        <f t="shared" si="38"/>
        <v>0</v>
      </c>
    </row>
    <row r="695" spans="5:8">
      <c r="E695" s="6" t="s">
        <v>348</v>
      </c>
      <c r="F695" s="6" t="s">
        <v>349</v>
      </c>
      <c r="G695" s="8">
        <v>0</v>
      </c>
      <c r="H695" s="16">
        <f t="shared" si="38"/>
        <v>0</v>
      </c>
    </row>
    <row r="696" spans="5:8">
      <c r="E696" s="6" t="s">
        <v>350</v>
      </c>
      <c r="F696" s="6" t="s">
        <v>351</v>
      </c>
      <c r="G696" s="8">
        <v>0</v>
      </c>
      <c r="H696" s="16">
        <f t="shared" si="38"/>
        <v>0</v>
      </c>
    </row>
    <row r="697" spans="5:8">
      <c r="E697" s="6" t="s">
        <v>350</v>
      </c>
      <c r="F697" s="6" t="s">
        <v>352</v>
      </c>
      <c r="G697" s="8">
        <v>0</v>
      </c>
      <c r="H697" s="16">
        <f t="shared" si="38"/>
        <v>0</v>
      </c>
    </row>
    <row r="698" spans="5:8">
      <c r="E698" s="6" t="s">
        <v>350</v>
      </c>
      <c r="F698" s="6" t="s">
        <v>353</v>
      </c>
      <c r="G698" s="8">
        <v>0</v>
      </c>
      <c r="H698" s="16">
        <f t="shared" si="38"/>
        <v>0</v>
      </c>
    </row>
    <row r="699" spans="5:8">
      <c r="E699" s="6" t="s">
        <v>350</v>
      </c>
      <c r="F699" s="6" t="s">
        <v>354</v>
      </c>
      <c r="G699" s="8">
        <v>0</v>
      </c>
      <c r="H699" s="16">
        <f t="shared" si="38"/>
        <v>0</v>
      </c>
    </row>
    <row r="700" spans="5:8">
      <c r="E700" s="6" t="s">
        <v>355</v>
      </c>
      <c r="F700" s="6" t="s">
        <v>356</v>
      </c>
      <c r="G700" s="8">
        <v>0</v>
      </c>
      <c r="H700" s="16">
        <f t="shared" si="38"/>
        <v>0</v>
      </c>
    </row>
    <row r="701" spans="5:8">
      <c r="E701" s="6" t="s">
        <v>355</v>
      </c>
      <c r="F701" s="6" t="s">
        <v>352</v>
      </c>
      <c r="G701" s="8">
        <v>0</v>
      </c>
      <c r="H701" s="16">
        <f t="shared" si="38"/>
        <v>0</v>
      </c>
    </row>
    <row r="702" spans="5:8">
      <c r="E702" s="6" t="s">
        <v>355</v>
      </c>
      <c r="F702" s="6" t="s">
        <v>353</v>
      </c>
      <c r="G702" s="8">
        <v>0</v>
      </c>
      <c r="H702" s="16">
        <f t="shared" si="38"/>
        <v>0</v>
      </c>
    </row>
    <row r="703" spans="5:8">
      <c r="E703" s="6" t="s">
        <v>355</v>
      </c>
      <c r="F703" s="6" t="s">
        <v>354</v>
      </c>
      <c r="G703" s="8">
        <v>0</v>
      </c>
      <c r="H703" s="16">
        <f t="shared" si="38"/>
        <v>0</v>
      </c>
    </row>
    <row r="704" spans="5:8">
      <c r="E704" s="6" t="s">
        <v>355</v>
      </c>
      <c r="F704" s="6" t="s">
        <v>357</v>
      </c>
      <c r="G704" s="8">
        <v>0</v>
      </c>
      <c r="H704" s="16">
        <f t="shared" si="38"/>
        <v>0</v>
      </c>
    </row>
    <row r="705" spans="5:8">
      <c r="E705" s="6" t="s">
        <v>358</v>
      </c>
      <c r="F705" s="6" t="s">
        <v>359</v>
      </c>
      <c r="G705" s="8">
        <v>0</v>
      </c>
      <c r="H705" s="16">
        <f t="shared" si="38"/>
        <v>0</v>
      </c>
    </row>
    <row r="706" spans="5:8">
      <c r="E706" s="6" t="s">
        <v>358</v>
      </c>
      <c r="F706" s="6" t="s">
        <v>352</v>
      </c>
      <c r="G706" s="8">
        <v>0</v>
      </c>
      <c r="H706" s="16">
        <f t="shared" si="38"/>
        <v>0</v>
      </c>
    </row>
    <row r="707" spans="5:8">
      <c r="E707" s="6" t="s">
        <v>358</v>
      </c>
      <c r="F707" s="6" t="s">
        <v>353</v>
      </c>
      <c r="G707" s="8">
        <v>0</v>
      </c>
      <c r="H707" s="16">
        <f t="shared" ref="H707:H770" si="39">IF(G707=0,0,1)</f>
        <v>0</v>
      </c>
    </row>
    <row r="708" spans="5:8">
      <c r="E708" s="6" t="s">
        <v>358</v>
      </c>
      <c r="F708" s="6" t="s">
        <v>354</v>
      </c>
      <c r="G708" s="8">
        <v>0</v>
      </c>
      <c r="H708" s="16">
        <f t="shared" si="39"/>
        <v>0</v>
      </c>
    </row>
    <row r="709" spans="5:8">
      <c r="E709" s="6" t="s">
        <v>358</v>
      </c>
      <c r="F709" s="6" t="s">
        <v>357</v>
      </c>
      <c r="G709" s="8">
        <v>0</v>
      </c>
      <c r="H709" s="16">
        <f t="shared" si="39"/>
        <v>0</v>
      </c>
    </row>
    <row r="710" spans="5:8">
      <c r="E710" s="6" t="s">
        <v>360</v>
      </c>
      <c r="F710" s="6" t="s">
        <v>361</v>
      </c>
      <c r="G710" s="8">
        <v>0</v>
      </c>
      <c r="H710" s="16">
        <f t="shared" si="39"/>
        <v>0</v>
      </c>
    </row>
    <row r="711" spans="5:8">
      <c r="E711" s="6" t="s">
        <v>360</v>
      </c>
      <c r="F711" s="6" t="s">
        <v>362</v>
      </c>
      <c r="G711" s="8">
        <v>0</v>
      </c>
      <c r="H711" s="16">
        <f t="shared" si="39"/>
        <v>0</v>
      </c>
    </row>
    <row r="712" spans="5:8">
      <c r="E712" s="6" t="s">
        <v>360</v>
      </c>
      <c r="F712" s="6" t="s">
        <v>363</v>
      </c>
      <c r="G712" s="8">
        <v>0</v>
      </c>
      <c r="H712" s="16">
        <f t="shared" si="39"/>
        <v>0</v>
      </c>
    </row>
    <row r="713" spans="5:8">
      <c r="E713" s="6" t="s">
        <v>364</v>
      </c>
      <c r="F713" s="6" t="s">
        <v>365</v>
      </c>
      <c r="G713" s="8">
        <v>0</v>
      </c>
      <c r="H713" s="16">
        <f t="shared" si="39"/>
        <v>0</v>
      </c>
    </row>
    <row r="714" spans="5:8">
      <c r="E714" s="6" t="s">
        <v>366</v>
      </c>
      <c r="F714" s="6" t="s">
        <v>367</v>
      </c>
      <c r="G714" s="8">
        <v>0</v>
      </c>
      <c r="H714" s="16">
        <f t="shared" si="39"/>
        <v>0</v>
      </c>
    </row>
    <row r="715" spans="5:8">
      <c r="E715" s="6" t="s">
        <v>366</v>
      </c>
      <c r="F715" s="6" t="s">
        <v>368</v>
      </c>
      <c r="G715" s="8">
        <v>0</v>
      </c>
      <c r="H715" s="16">
        <f t="shared" si="39"/>
        <v>0</v>
      </c>
    </row>
    <row r="716" spans="5:8">
      <c r="E716" s="6" t="s">
        <v>366</v>
      </c>
      <c r="F716" s="6" t="s">
        <v>369</v>
      </c>
      <c r="G716" s="8">
        <v>1</v>
      </c>
      <c r="H716" s="16">
        <f t="shared" si="39"/>
        <v>1</v>
      </c>
    </row>
    <row r="717" spans="5:8">
      <c r="E717" s="6" t="s">
        <v>366</v>
      </c>
      <c r="F717" s="6" t="s">
        <v>370</v>
      </c>
      <c r="G717" s="8">
        <v>0</v>
      </c>
      <c r="H717" s="16">
        <f t="shared" si="39"/>
        <v>0</v>
      </c>
    </row>
    <row r="718" spans="5:8">
      <c r="E718" s="6" t="s">
        <v>366</v>
      </c>
      <c r="F718" s="6" t="s">
        <v>371</v>
      </c>
      <c r="G718" s="8">
        <v>0</v>
      </c>
      <c r="H718" s="16">
        <f t="shared" si="39"/>
        <v>0</v>
      </c>
    </row>
    <row r="719" spans="5:8">
      <c r="E719" s="6" t="s">
        <v>366</v>
      </c>
      <c r="F719" s="6" t="s">
        <v>372</v>
      </c>
      <c r="G719" s="8">
        <v>0</v>
      </c>
      <c r="H719" s="16">
        <f t="shared" si="39"/>
        <v>0</v>
      </c>
    </row>
    <row r="720" spans="5:8">
      <c r="E720" s="6" t="s">
        <v>373</v>
      </c>
      <c r="F720" s="6" t="s">
        <v>368</v>
      </c>
      <c r="G720" s="8">
        <v>0</v>
      </c>
      <c r="H720" s="16">
        <f t="shared" si="39"/>
        <v>0</v>
      </c>
    </row>
    <row r="721" spans="5:8">
      <c r="E721" s="6" t="s">
        <v>373</v>
      </c>
      <c r="F721" s="6" t="s">
        <v>370</v>
      </c>
      <c r="G721" s="8">
        <v>0</v>
      </c>
      <c r="H721" s="16">
        <f t="shared" si="39"/>
        <v>0</v>
      </c>
    </row>
    <row r="722" spans="5:8">
      <c r="E722" s="6" t="s">
        <v>373</v>
      </c>
      <c r="F722" s="6" t="s">
        <v>371</v>
      </c>
      <c r="G722" s="8">
        <v>0</v>
      </c>
      <c r="H722" s="16">
        <f t="shared" si="39"/>
        <v>0</v>
      </c>
    </row>
    <row r="723" spans="5:8">
      <c r="E723" s="6" t="s">
        <v>374</v>
      </c>
      <c r="F723" s="6" t="s">
        <v>375</v>
      </c>
      <c r="G723" s="8">
        <v>0</v>
      </c>
      <c r="H723" s="16">
        <f t="shared" si="39"/>
        <v>0</v>
      </c>
    </row>
    <row r="724" spans="5:8">
      <c r="E724" s="6" t="s">
        <v>376</v>
      </c>
      <c r="F724" s="6" t="s">
        <v>377</v>
      </c>
      <c r="G724" s="8">
        <v>12</v>
      </c>
      <c r="H724" s="16">
        <f t="shared" si="39"/>
        <v>1</v>
      </c>
    </row>
    <row r="725" spans="5:8">
      <c r="E725" s="6" t="s">
        <v>378</v>
      </c>
      <c r="F725" s="6" t="s">
        <v>379</v>
      </c>
      <c r="G725" s="8">
        <v>0</v>
      </c>
      <c r="H725" s="16">
        <f t="shared" si="39"/>
        <v>0</v>
      </c>
    </row>
    <row r="726" spans="5:8">
      <c r="E726" s="6" t="s">
        <v>380</v>
      </c>
      <c r="F726" s="6" t="s">
        <v>379</v>
      </c>
      <c r="G726" s="8">
        <v>0</v>
      </c>
      <c r="H726" s="16">
        <f t="shared" si="39"/>
        <v>0</v>
      </c>
    </row>
    <row r="727" spans="5:8">
      <c r="E727" s="6" t="s">
        <v>381</v>
      </c>
      <c r="F727" s="6" t="s">
        <v>382</v>
      </c>
      <c r="G727" s="8">
        <v>0</v>
      </c>
      <c r="H727" s="16">
        <f t="shared" si="39"/>
        <v>0</v>
      </c>
    </row>
    <row r="728" spans="5:8">
      <c r="E728" s="6" t="s">
        <v>383</v>
      </c>
      <c r="F728" s="6" t="s">
        <v>382</v>
      </c>
      <c r="G728" s="8">
        <v>0</v>
      </c>
      <c r="H728" s="16">
        <f t="shared" si="39"/>
        <v>0</v>
      </c>
    </row>
    <row r="729" spans="5:8">
      <c r="E729" s="6" t="s">
        <v>384</v>
      </c>
      <c r="F729" s="6" t="s">
        <v>382</v>
      </c>
      <c r="G729" s="8">
        <v>0</v>
      </c>
      <c r="H729" s="16">
        <f t="shared" si="39"/>
        <v>0</v>
      </c>
    </row>
    <row r="730" spans="5:8">
      <c r="E730" s="6" t="s">
        <v>385</v>
      </c>
      <c r="F730" s="6" t="s">
        <v>386</v>
      </c>
      <c r="G730" s="8">
        <v>0</v>
      </c>
      <c r="H730" s="16">
        <f t="shared" si="39"/>
        <v>0</v>
      </c>
    </row>
    <row r="731" spans="5:8">
      <c r="E731" s="6" t="s">
        <v>387</v>
      </c>
      <c r="F731" s="6" t="s">
        <v>388</v>
      </c>
      <c r="G731" s="8">
        <v>0</v>
      </c>
      <c r="H731" s="16">
        <f t="shared" si="39"/>
        <v>0</v>
      </c>
    </row>
    <row r="732" spans="5:8">
      <c r="E732" s="6" t="s">
        <v>387</v>
      </c>
      <c r="F732" s="6" t="s">
        <v>4</v>
      </c>
      <c r="G732" s="8">
        <v>0</v>
      </c>
      <c r="H732" s="16">
        <f t="shared" si="39"/>
        <v>0</v>
      </c>
    </row>
    <row r="733" spans="5:8">
      <c r="E733" s="6" t="s">
        <v>387</v>
      </c>
      <c r="F733" s="6" t="s">
        <v>324</v>
      </c>
      <c r="G733" s="8">
        <v>0</v>
      </c>
      <c r="H733" s="16">
        <f t="shared" si="39"/>
        <v>0</v>
      </c>
    </row>
    <row r="734" spans="5:8">
      <c r="E734" s="6" t="s">
        <v>389</v>
      </c>
      <c r="F734" s="6" t="s">
        <v>390</v>
      </c>
      <c r="G734" s="8">
        <v>0</v>
      </c>
      <c r="H734" s="16">
        <f t="shared" si="39"/>
        <v>0</v>
      </c>
    </row>
    <row r="735" spans="5:8">
      <c r="E735" s="6" t="s">
        <v>389</v>
      </c>
      <c r="F735" s="6" t="s">
        <v>4</v>
      </c>
      <c r="G735" s="8">
        <v>0</v>
      </c>
      <c r="H735" s="16">
        <f t="shared" si="39"/>
        <v>0</v>
      </c>
    </row>
    <row r="736" spans="5:8">
      <c r="E736" s="6" t="s">
        <v>389</v>
      </c>
      <c r="F736" s="6" t="s">
        <v>324</v>
      </c>
      <c r="G736" s="8">
        <v>0</v>
      </c>
      <c r="H736" s="16">
        <f t="shared" si="39"/>
        <v>0</v>
      </c>
    </row>
    <row r="737" spans="5:8">
      <c r="E737" s="6" t="s">
        <v>391</v>
      </c>
      <c r="F737" s="6" t="s">
        <v>392</v>
      </c>
      <c r="G737" s="8">
        <v>0</v>
      </c>
      <c r="H737" s="16">
        <f t="shared" si="39"/>
        <v>0</v>
      </c>
    </row>
    <row r="738" spans="5:8">
      <c r="E738" s="6" t="s">
        <v>393</v>
      </c>
      <c r="F738" s="6" t="s">
        <v>394</v>
      </c>
      <c r="G738" s="8">
        <v>0</v>
      </c>
      <c r="H738" s="16">
        <f t="shared" si="39"/>
        <v>0</v>
      </c>
    </row>
    <row r="739" spans="5:8">
      <c r="E739" s="6" t="s">
        <v>395</v>
      </c>
      <c r="F739" s="6" t="s">
        <v>396</v>
      </c>
      <c r="G739" s="8">
        <v>2</v>
      </c>
      <c r="H739" s="16">
        <f t="shared" si="39"/>
        <v>1</v>
      </c>
    </row>
    <row r="740" spans="5:8">
      <c r="E740" s="6" t="s">
        <v>395</v>
      </c>
      <c r="F740" s="6" t="s">
        <v>397</v>
      </c>
      <c r="G740" s="8">
        <v>0</v>
      </c>
      <c r="H740" s="16">
        <f t="shared" si="39"/>
        <v>0</v>
      </c>
    </row>
    <row r="741" spans="5:8">
      <c r="E741" s="6" t="s">
        <v>398</v>
      </c>
      <c r="F741" s="6" t="s">
        <v>399</v>
      </c>
      <c r="G741" s="8">
        <v>1</v>
      </c>
      <c r="H741" s="16">
        <f t="shared" si="39"/>
        <v>1</v>
      </c>
    </row>
    <row r="742" spans="5:8">
      <c r="E742" s="6" t="s">
        <v>400</v>
      </c>
      <c r="F742" s="6" t="s">
        <v>401</v>
      </c>
      <c r="G742" s="8">
        <v>4</v>
      </c>
      <c r="H742" s="16">
        <f t="shared" si="39"/>
        <v>1</v>
      </c>
    </row>
    <row r="743" spans="5:8">
      <c r="E743" s="6" t="s">
        <v>402</v>
      </c>
      <c r="F743" s="6" t="s">
        <v>399</v>
      </c>
      <c r="G743" s="8">
        <v>17</v>
      </c>
      <c r="H743" s="16">
        <f t="shared" si="39"/>
        <v>1</v>
      </c>
    </row>
    <row r="744" spans="5:8">
      <c r="E744" s="6" t="s">
        <v>403</v>
      </c>
      <c r="F744" s="6" t="s">
        <v>404</v>
      </c>
      <c r="G744" s="8">
        <v>0</v>
      </c>
      <c r="H744" s="16">
        <f t="shared" si="39"/>
        <v>0</v>
      </c>
    </row>
    <row r="745" spans="5:8">
      <c r="E745" s="6" t="s">
        <v>405</v>
      </c>
      <c r="F745" s="6" t="s">
        <v>406</v>
      </c>
      <c r="G745" s="8">
        <v>7</v>
      </c>
      <c r="H745" s="16">
        <f t="shared" si="39"/>
        <v>1</v>
      </c>
    </row>
    <row r="746" spans="5:8">
      <c r="E746" s="6" t="s">
        <v>405</v>
      </c>
      <c r="F746" s="6" t="s">
        <v>407</v>
      </c>
      <c r="G746" s="8">
        <v>0</v>
      </c>
      <c r="H746" s="16">
        <f t="shared" si="39"/>
        <v>0</v>
      </c>
    </row>
    <row r="747" spans="5:8">
      <c r="E747" s="6" t="s">
        <v>405</v>
      </c>
      <c r="F747" s="6" t="s">
        <v>408</v>
      </c>
      <c r="G747" s="8">
        <v>0</v>
      </c>
      <c r="H747" s="16">
        <f t="shared" si="39"/>
        <v>0</v>
      </c>
    </row>
    <row r="748" spans="5:8">
      <c r="E748" s="6" t="s">
        <v>409</v>
      </c>
      <c r="F748" s="6" t="s">
        <v>410</v>
      </c>
      <c r="G748" s="8">
        <v>0</v>
      </c>
      <c r="H748" s="16">
        <f t="shared" si="39"/>
        <v>0</v>
      </c>
    </row>
    <row r="749" spans="5:8">
      <c r="E749" s="6" t="s">
        <v>411</v>
      </c>
      <c r="F749" s="6" t="s">
        <v>412</v>
      </c>
      <c r="G749" s="8">
        <v>13</v>
      </c>
      <c r="H749" s="16">
        <f t="shared" si="39"/>
        <v>1</v>
      </c>
    </row>
    <row r="750" spans="5:8">
      <c r="E750" s="6" t="s">
        <v>411</v>
      </c>
      <c r="F750" s="6" t="s">
        <v>413</v>
      </c>
      <c r="G750" s="8">
        <v>0</v>
      </c>
      <c r="H750" s="16">
        <f t="shared" si="39"/>
        <v>0</v>
      </c>
    </row>
    <row r="751" spans="5:8">
      <c r="E751" s="6" t="s">
        <v>411</v>
      </c>
      <c r="F751" s="6" t="s">
        <v>191</v>
      </c>
      <c r="G751" s="8">
        <v>0</v>
      </c>
      <c r="H751" s="16">
        <f t="shared" si="39"/>
        <v>0</v>
      </c>
    </row>
    <row r="752" spans="5:8">
      <c r="E752" s="6" t="s">
        <v>411</v>
      </c>
      <c r="F752" s="6" t="s">
        <v>414</v>
      </c>
      <c r="G752" s="8">
        <v>16</v>
      </c>
      <c r="H752" s="16">
        <f t="shared" si="39"/>
        <v>1</v>
      </c>
    </row>
    <row r="753" spans="5:8">
      <c r="E753" s="6" t="s">
        <v>411</v>
      </c>
      <c r="F753" s="6" t="s">
        <v>244</v>
      </c>
      <c r="G753" s="8">
        <v>0</v>
      </c>
      <c r="H753" s="16">
        <f t="shared" si="39"/>
        <v>0</v>
      </c>
    </row>
    <row r="754" spans="5:8">
      <c r="E754" s="6" t="s">
        <v>415</v>
      </c>
      <c r="F754" s="6" t="s">
        <v>416</v>
      </c>
      <c r="G754" s="8">
        <v>0</v>
      </c>
      <c r="H754" s="16">
        <f t="shared" si="39"/>
        <v>0</v>
      </c>
    </row>
    <row r="755" spans="5:8">
      <c r="E755" s="6" t="s">
        <v>417</v>
      </c>
      <c r="F755" s="6" t="s">
        <v>418</v>
      </c>
      <c r="G755" s="8">
        <v>0</v>
      </c>
      <c r="H755" s="16">
        <f t="shared" si="39"/>
        <v>0</v>
      </c>
    </row>
    <row r="756" spans="5:8">
      <c r="E756" s="6" t="s">
        <v>419</v>
      </c>
      <c r="F756" s="6" t="s">
        <v>420</v>
      </c>
      <c r="G756" s="8">
        <v>0</v>
      </c>
      <c r="H756" s="16">
        <f t="shared" si="39"/>
        <v>0</v>
      </c>
    </row>
    <row r="757" spans="5:8">
      <c r="E757" s="6" t="s">
        <v>419</v>
      </c>
      <c r="F757" s="6" t="s">
        <v>421</v>
      </c>
      <c r="G757" s="8">
        <v>0</v>
      </c>
      <c r="H757" s="16">
        <f t="shared" si="39"/>
        <v>0</v>
      </c>
    </row>
    <row r="758" spans="5:8">
      <c r="E758" s="6" t="s">
        <v>422</v>
      </c>
      <c r="F758" s="6" t="s">
        <v>423</v>
      </c>
      <c r="G758" s="8">
        <v>0</v>
      </c>
      <c r="H758" s="16">
        <f t="shared" si="39"/>
        <v>0</v>
      </c>
    </row>
    <row r="759" spans="5:8">
      <c r="E759" s="6" t="s">
        <v>422</v>
      </c>
      <c r="F759" s="6" t="s">
        <v>424</v>
      </c>
      <c r="G759" s="8">
        <v>0</v>
      </c>
      <c r="H759" s="16">
        <f t="shared" si="39"/>
        <v>0</v>
      </c>
    </row>
    <row r="760" spans="5:8">
      <c r="E760" s="6" t="s">
        <v>425</v>
      </c>
      <c r="F760" s="6" t="s">
        <v>426</v>
      </c>
      <c r="G760" s="8">
        <v>4</v>
      </c>
      <c r="H760" s="16">
        <f t="shared" si="39"/>
        <v>1</v>
      </c>
    </row>
    <row r="761" spans="5:8">
      <c r="E761" s="6" t="s">
        <v>427</v>
      </c>
      <c r="F761" s="6" t="s">
        <v>423</v>
      </c>
      <c r="G761" s="8">
        <v>0</v>
      </c>
      <c r="H761" s="16">
        <f t="shared" si="39"/>
        <v>0</v>
      </c>
    </row>
    <row r="762" spans="5:8">
      <c r="E762" s="6" t="s">
        <v>427</v>
      </c>
      <c r="F762" s="6" t="s">
        <v>424</v>
      </c>
      <c r="G762" s="8">
        <v>0</v>
      </c>
      <c r="H762" s="16">
        <f t="shared" si="39"/>
        <v>0</v>
      </c>
    </row>
    <row r="763" spans="5:8">
      <c r="E763" s="6" t="s">
        <v>428</v>
      </c>
      <c r="F763" s="6" t="s">
        <v>429</v>
      </c>
      <c r="G763" s="8">
        <v>0</v>
      </c>
      <c r="H763" s="16">
        <f t="shared" si="39"/>
        <v>0</v>
      </c>
    </row>
    <row r="764" spans="5:8">
      <c r="E764" s="6" t="s">
        <v>428</v>
      </c>
      <c r="F764" s="6" t="s">
        <v>430</v>
      </c>
      <c r="G764" s="8">
        <v>0</v>
      </c>
      <c r="H764" s="16">
        <f t="shared" si="39"/>
        <v>0</v>
      </c>
    </row>
    <row r="765" spans="5:8">
      <c r="E765" s="6" t="s">
        <v>428</v>
      </c>
      <c r="F765" s="6" t="s">
        <v>431</v>
      </c>
      <c r="G765" s="8">
        <v>0</v>
      </c>
      <c r="H765" s="16">
        <f t="shared" si="39"/>
        <v>0</v>
      </c>
    </row>
    <row r="766" spans="5:8">
      <c r="E766" s="6" t="s">
        <v>432</v>
      </c>
      <c r="F766" s="6" t="s">
        <v>429</v>
      </c>
      <c r="G766" s="8">
        <v>1</v>
      </c>
      <c r="H766" s="16">
        <f t="shared" si="39"/>
        <v>1</v>
      </c>
    </row>
    <row r="767" spans="5:8">
      <c r="E767" s="6" t="s">
        <v>432</v>
      </c>
      <c r="F767" s="6" t="s">
        <v>424</v>
      </c>
      <c r="G767" s="8">
        <v>0</v>
      </c>
      <c r="H767" s="16">
        <f t="shared" si="39"/>
        <v>0</v>
      </c>
    </row>
    <row r="768" spans="5:8">
      <c r="E768" s="6" t="s">
        <v>433</v>
      </c>
      <c r="F768" s="6" t="s">
        <v>429</v>
      </c>
      <c r="G768" s="8">
        <v>0</v>
      </c>
      <c r="H768" s="16">
        <f t="shared" si="39"/>
        <v>0</v>
      </c>
    </row>
    <row r="769" spans="5:8">
      <c r="E769" s="6" t="s">
        <v>433</v>
      </c>
      <c r="F769" s="6" t="s">
        <v>424</v>
      </c>
      <c r="G769" s="8">
        <v>0</v>
      </c>
      <c r="H769" s="16">
        <f t="shared" si="39"/>
        <v>0</v>
      </c>
    </row>
    <row r="770" spans="5:8">
      <c r="E770" s="6" t="s">
        <v>434</v>
      </c>
      <c r="F770" s="6" t="s">
        <v>435</v>
      </c>
      <c r="G770" s="8">
        <v>0</v>
      </c>
      <c r="H770" s="16">
        <f t="shared" si="39"/>
        <v>0</v>
      </c>
    </row>
    <row r="771" spans="5:8">
      <c r="E771" s="6" t="s">
        <v>434</v>
      </c>
      <c r="F771" s="6" t="s">
        <v>424</v>
      </c>
      <c r="G771" s="8">
        <v>0</v>
      </c>
      <c r="H771" s="16">
        <f t="shared" ref="H771:H785" si="40">IF(G771=0,0,1)</f>
        <v>0</v>
      </c>
    </row>
    <row r="772" spans="5:8">
      <c r="E772" s="6" t="s">
        <v>436</v>
      </c>
      <c r="F772" s="6" t="s">
        <v>435</v>
      </c>
      <c r="G772" s="8">
        <v>1</v>
      </c>
      <c r="H772" s="16">
        <f t="shared" si="40"/>
        <v>1</v>
      </c>
    </row>
    <row r="773" spans="5:8">
      <c r="E773" s="6" t="s">
        <v>436</v>
      </c>
      <c r="F773" s="6" t="s">
        <v>424</v>
      </c>
      <c r="G773" s="8">
        <v>2</v>
      </c>
      <c r="H773" s="16">
        <f t="shared" si="40"/>
        <v>1</v>
      </c>
    </row>
    <row r="774" spans="5:8">
      <c r="E774" s="6" t="s">
        <v>437</v>
      </c>
      <c r="F774" s="6" t="s">
        <v>429</v>
      </c>
      <c r="G774" s="8">
        <v>0</v>
      </c>
      <c r="H774" s="16">
        <f t="shared" si="40"/>
        <v>0</v>
      </c>
    </row>
    <row r="775" spans="5:8">
      <c r="E775" s="6" t="s">
        <v>437</v>
      </c>
      <c r="F775" s="6" t="s">
        <v>424</v>
      </c>
      <c r="G775" s="8">
        <v>0</v>
      </c>
      <c r="H775" s="16">
        <f t="shared" si="40"/>
        <v>0</v>
      </c>
    </row>
    <row r="776" spans="5:8">
      <c r="E776" s="6" t="s">
        <v>438</v>
      </c>
      <c r="F776" s="6" t="s">
        <v>424</v>
      </c>
      <c r="G776" s="8">
        <v>0</v>
      </c>
      <c r="H776" s="16">
        <f t="shared" si="40"/>
        <v>0</v>
      </c>
    </row>
    <row r="777" spans="5:8">
      <c r="E777" s="6" t="s">
        <v>439</v>
      </c>
      <c r="F777" s="6" t="s">
        <v>429</v>
      </c>
      <c r="G777" s="8">
        <v>0</v>
      </c>
      <c r="H777" s="16">
        <f t="shared" si="40"/>
        <v>0</v>
      </c>
    </row>
    <row r="778" spans="5:8">
      <c r="E778" s="6" t="s">
        <v>439</v>
      </c>
      <c r="F778" s="6" t="s">
        <v>424</v>
      </c>
      <c r="G778" s="8">
        <v>0</v>
      </c>
      <c r="H778" s="16">
        <f t="shared" si="40"/>
        <v>0</v>
      </c>
    </row>
    <row r="779" spans="5:8">
      <c r="E779" s="6" t="s">
        <v>440</v>
      </c>
      <c r="F779" s="6" t="s">
        <v>435</v>
      </c>
      <c r="G779" s="8">
        <v>0</v>
      </c>
      <c r="H779" s="16">
        <f t="shared" si="40"/>
        <v>0</v>
      </c>
    </row>
    <row r="780" spans="5:8">
      <c r="E780" s="6" t="s">
        <v>440</v>
      </c>
      <c r="F780" s="6" t="s">
        <v>424</v>
      </c>
      <c r="G780" s="8">
        <v>0</v>
      </c>
      <c r="H780" s="16">
        <f t="shared" si="40"/>
        <v>0</v>
      </c>
    </row>
    <row r="781" spans="5:8">
      <c r="E781" s="6" t="s">
        <v>441</v>
      </c>
      <c r="F781" s="6" t="s">
        <v>442</v>
      </c>
      <c r="G781" s="8">
        <v>0</v>
      </c>
      <c r="H781" s="16">
        <f t="shared" si="40"/>
        <v>0</v>
      </c>
    </row>
    <row r="782" spans="5:8">
      <c r="E782" s="6" t="s">
        <v>443</v>
      </c>
      <c r="F782" s="6" t="s">
        <v>444</v>
      </c>
      <c r="G782" s="8">
        <v>0</v>
      </c>
      <c r="H782" s="16">
        <f t="shared" si="40"/>
        <v>0</v>
      </c>
    </row>
    <row r="783" spans="5:8">
      <c r="E783" s="6" t="s">
        <v>443</v>
      </c>
      <c r="F783" s="6" t="s">
        <v>445</v>
      </c>
      <c r="G783" s="8">
        <v>0</v>
      </c>
      <c r="H783" s="16">
        <f t="shared" si="40"/>
        <v>0</v>
      </c>
    </row>
    <row r="784" spans="5:8">
      <c r="E784" s="6" t="s">
        <v>443</v>
      </c>
      <c r="F784" s="6" t="s">
        <v>446</v>
      </c>
      <c r="G784" s="8">
        <v>0</v>
      </c>
      <c r="H784" s="16">
        <f t="shared" si="40"/>
        <v>0</v>
      </c>
    </row>
    <row r="785" spans="5:8">
      <c r="E785" s="6" t="s">
        <v>443</v>
      </c>
      <c r="F785" s="6" t="s">
        <v>447</v>
      </c>
      <c r="G785" s="8">
        <v>0</v>
      </c>
      <c r="H785" s="16">
        <f t="shared" si="40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1BF49-85E5-4F2A-B147-E5973F72F002}">
  <sheetPr codeName="Sheet10"/>
  <dimension ref="A1:L228"/>
  <sheetViews>
    <sheetView zoomScale="60" zoomScaleNormal="60" zoomScaleSheetLayoutView="50" workbookViewId="0">
      <selection activeCell="L6" sqref="L6"/>
    </sheetView>
  </sheetViews>
  <sheetFormatPr defaultRowHeight="12.3"/>
  <cols>
    <col min="1" max="1" width="54.44140625" style="16" bestFit="1" customWidth="1"/>
    <col min="2" max="2" width="28" bestFit="1" customWidth="1"/>
    <col min="3" max="3" width="31.71875" bestFit="1" customWidth="1"/>
    <col min="4" max="4" width="34" bestFit="1" customWidth="1"/>
    <col min="8" max="8" width="11.83203125" bestFit="1" customWidth="1"/>
    <col min="9" max="9" width="11" bestFit="1" customWidth="1"/>
    <col min="12" max="12" width="13.77734375" bestFit="1" customWidth="1"/>
  </cols>
  <sheetData>
    <row r="1" spans="1:12">
      <c r="A1" s="28" t="s">
        <v>0</v>
      </c>
      <c r="B1" s="23" t="s">
        <v>475</v>
      </c>
      <c r="C1" s="23" t="s">
        <v>481</v>
      </c>
      <c r="D1" s="32" t="s">
        <v>519</v>
      </c>
      <c r="E1" s="33" t="s">
        <v>464</v>
      </c>
      <c r="F1" s="33" t="s">
        <v>468</v>
      </c>
      <c r="G1" s="33" t="s">
        <v>465</v>
      </c>
      <c r="H1" s="33" t="s">
        <v>466</v>
      </c>
      <c r="I1" s="36" t="s">
        <v>467</v>
      </c>
      <c r="J1" s="34" t="s">
        <v>469</v>
      </c>
      <c r="L1" s="33" t="s">
        <v>549</v>
      </c>
    </row>
    <row r="2" spans="1:12">
      <c r="A2" s="6" t="s">
        <v>1</v>
      </c>
      <c r="B2">
        <v>0</v>
      </c>
      <c r="C2">
        <v>1</v>
      </c>
      <c r="D2">
        <f>AVERAGE(B2:C2)</f>
        <v>0.5</v>
      </c>
      <c r="E2" s="35">
        <f>QUARTILE(D2:D226, 1)</f>
        <v>0</v>
      </c>
      <c r="F2" s="35">
        <f>QUARTILE(D2:D226,3)</f>
        <v>6</v>
      </c>
      <c r="G2" s="35">
        <f>F2-E2</f>
        <v>6</v>
      </c>
      <c r="H2" s="35">
        <f>F2+(1.5*G2)</f>
        <v>15</v>
      </c>
      <c r="I2" s="35">
        <f>E2-(1.5*G2)</f>
        <v>-9</v>
      </c>
      <c r="J2" t="b">
        <f>OR(D2&gt;$H$2,D2&lt;$I$2)</f>
        <v>0</v>
      </c>
      <c r="L2" s="19">
        <f>AVERAGE(D2:D226)</f>
        <v>8.2533333333333339</v>
      </c>
    </row>
    <row r="3" spans="1:12">
      <c r="A3" s="6" t="s">
        <v>3</v>
      </c>
      <c r="B3">
        <v>0</v>
      </c>
      <c r="C3">
        <v>0</v>
      </c>
      <c r="D3" s="16">
        <f t="shared" ref="D3:D66" si="0">AVERAGE(B3:C3)</f>
        <v>0</v>
      </c>
      <c r="J3" s="16" t="b">
        <f t="shared" ref="J3:J66" si="1">OR(D3&gt;$H$2,D3&lt;$I$2)</f>
        <v>0</v>
      </c>
    </row>
    <row r="4" spans="1:12">
      <c r="A4" s="6" t="s">
        <v>5</v>
      </c>
      <c r="B4">
        <v>0</v>
      </c>
      <c r="C4">
        <v>0</v>
      </c>
      <c r="D4" s="16">
        <f t="shared" si="0"/>
        <v>0</v>
      </c>
      <c r="J4" s="16" t="b">
        <f t="shared" si="1"/>
        <v>0</v>
      </c>
    </row>
    <row r="5" spans="1:12">
      <c r="A5" s="6" t="s">
        <v>7</v>
      </c>
      <c r="B5">
        <v>15</v>
      </c>
      <c r="C5">
        <v>55</v>
      </c>
      <c r="D5" s="16">
        <f t="shared" si="0"/>
        <v>35</v>
      </c>
      <c r="J5" s="16" t="b">
        <f t="shared" si="1"/>
        <v>1</v>
      </c>
    </row>
    <row r="6" spans="1:12">
      <c r="A6" s="6" t="s">
        <v>10</v>
      </c>
      <c r="B6">
        <v>0</v>
      </c>
      <c r="C6">
        <v>0</v>
      </c>
      <c r="D6" s="16">
        <f t="shared" si="0"/>
        <v>0</v>
      </c>
      <c r="J6" s="16" t="b">
        <f t="shared" si="1"/>
        <v>0</v>
      </c>
    </row>
    <row r="7" spans="1:12">
      <c r="A7" s="6" t="s">
        <v>11</v>
      </c>
      <c r="B7">
        <v>0</v>
      </c>
      <c r="C7">
        <v>0</v>
      </c>
      <c r="D7" s="16">
        <f t="shared" si="0"/>
        <v>0</v>
      </c>
      <c r="J7" s="16" t="b">
        <f t="shared" si="1"/>
        <v>0</v>
      </c>
    </row>
    <row r="8" spans="1:12">
      <c r="A8" s="6" t="s">
        <v>12</v>
      </c>
      <c r="B8">
        <v>5</v>
      </c>
      <c r="C8">
        <v>3</v>
      </c>
      <c r="D8" s="16">
        <f t="shared" si="0"/>
        <v>4</v>
      </c>
      <c r="J8" s="16" t="b">
        <f t="shared" si="1"/>
        <v>0</v>
      </c>
    </row>
    <row r="9" spans="1:12">
      <c r="A9" s="6" t="s">
        <v>13</v>
      </c>
      <c r="B9">
        <v>0</v>
      </c>
      <c r="C9">
        <v>7</v>
      </c>
      <c r="D9" s="16">
        <f t="shared" si="0"/>
        <v>3.5</v>
      </c>
      <c r="J9" s="16" t="b">
        <f t="shared" si="1"/>
        <v>0</v>
      </c>
    </row>
    <row r="10" spans="1:12">
      <c r="A10" s="6" t="s">
        <v>14</v>
      </c>
      <c r="B10">
        <v>0</v>
      </c>
      <c r="C10">
        <v>0</v>
      </c>
      <c r="D10" s="16">
        <f t="shared" si="0"/>
        <v>0</v>
      </c>
      <c r="J10" s="16" t="b">
        <f t="shared" si="1"/>
        <v>0</v>
      </c>
    </row>
    <row r="11" spans="1:12">
      <c r="A11" s="6" t="s">
        <v>15</v>
      </c>
      <c r="B11">
        <v>0</v>
      </c>
      <c r="C11">
        <v>9</v>
      </c>
      <c r="D11" s="16">
        <f t="shared" si="0"/>
        <v>4.5</v>
      </c>
      <c r="J11" s="16" t="b">
        <f t="shared" si="1"/>
        <v>0</v>
      </c>
    </row>
    <row r="12" spans="1:12">
      <c r="A12" s="6" t="s">
        <v>18</v>
      </c>
      <c r="B12">
        <v>43</v>
      </c>
      <c r="C12">
        <v>61</v>
      </c>
      <c r="D12" s="16">
        <f t="shared" si="0"/>
        <v>52</v>
      </c>
      <c r="J12" s="16" t="b">
        <f t="shared" si="1"/>
        <v>1</v>
      </c>
    </row>
    <row r="13" spans="1:12">
      <c r="A13" s="6" t="s">
        <v>20</v>
      </c>
      <c r="B13">
        <v>0</v>
      </c>
      <c r="C13">
        <v>17</v>
      </c>
      <c r="D13" s="16">
        <f t="shared" si="0"/>
        <v>8.5</v>
      </c>
      <c r="J13" s="16" t="b">
        <f t="shared" si="1"/>
        <v>0</v>
      </c>
    </row>
    <row r="14" spans="1:12">
      <c r="A14" s="6" t="s">
        <v>21</v>
      </c>
      <c r="B14">
        <v>0</v>
      </c>
      <c r="C14">
        <v>0</v>
      </c>
      <c r="D14" s="16">
        <f t="shared" si="0"/>
        <v>0</v>
      </c>
      <c r="J14" s="16" t="b">
        <f t="shared" si="1"/>
        <v>0</v>
      </c>
    </row>
    <row r="15" spans="1:12">
      <c r="A15" s="6" t="s">
        <v>22</v>
      </c>
      <c r="B15">
        <v>1</v>
      </c>
      <c r="C15">
        <v>1</v>
      </c>
      <c r="D15" s="16">
        <f t="shared" si="0"/>
        <v>1</v>
      </c>
      <c r="J15" s="16" t="b">
        <f t="shared" si="1"/>
        <v>0</v>
      </c>
    </row>
    <row r="16" spans="1:12">
      <c r="A16" s="6" t="s">
        <v>23</v>
      </c>
      <c r="B16">
        <v>0</v>
      </c>
      <c r="C16">
        <v>14</v>
      </c>
      <c r="D16" s="16">
        <f t="shared" si="0"/>
        <v>7</v>
      </c>
      <c r="J16" s="16" t="b">
        <f t="shared" si="1"/>
        <v>0</v>
      </c>
    </row>
    <row r="17" spans="1:10">
      <c r="A17" s="6" t="s">
        <v>24</v>
      </c>
      <c r="B17">
        <v>5</v>
      </c>
      <c r="C17">
        <v>3</v>
      </c>
      <c r="D17" s="16">
        <f t="shared" si="0"/>
        <v>4</v>
      </c>
      <c r="J17" s="16" t="b">
        <f t="shared" si="1"/>
        <v>0</v>
      </c>
    </row>
    <row r="18" spans="1:10">
      <c r="A18" s="6" t="s">
        <v>25</v>
      </c>
      <c r="B18">
        <v>5</v>
      </c>
      <c r="C18">
        <v>4</v>
      </c>
      <c r="D18" s="16">
        <f t="shared" si="0"/>
        <v>4.5</v>
      </c>
      <c r="J18" s="16" t="b">
        <f t="shared" si="1"/>
        <v>0</v>
      </c>
    </row>
    <row r="19" spans="1:10">
      <c r="A19" s="6" t="s">
        <v>26</v>
      </c>
      <c r="B19">
        <v>0</v>
      </c>
      <c r="C19">
        <v>1</v>
      </c>
      <c r="D19" s="16">
        <f t="shared" si="0"/>
        <v>0.5</v>
      </c>
      <c r="J19" s="16" t="b">
        <f t="shared" si="1"/>
        <v>0</v>
      </c>
    </row>
    <row r="20" spans="1:10">
      <c r="A20" s="6" t="s">
        <v>27</v>
      </c>
      <c r="B20">
        <v>3</v>
      </c>
      <c r="C20">
        <v>2</v>
      </c>
      <c r="D20" s="16">
        <f t="shared" si="0"/>
        <v>2.5</v>
      </c>
      <c r="J20" s="16" t="b">
        <f t="shared" si="1"/>
        <v>0</v>
      </c>
    </row>
    <row r="21" spans="1:10">
      <c r="A21" s="6" t="s">
        <v>28</v>
      </c>
      <c r="B21">
        <v>0</v>
      </c>
      <c r="C21">
        <v>5</v>
      </c>
      <c r="D21" s="16">
        <f t="shared" si="0"/>
        <v>2.5</v>
      </c>
      <c r="J21" s="16" t="b">
        <f t="shared" si="1"/>
        <v>0</v>
      </c>
    </row>
    <row r="22" spans="1:10">
      <c r="A22" s="6" t="s">
        <v>29</v>
      </c>
      <c r="B22">
        <v>5</v>
      </c>
      <c r="C22">
        <v>3</v>
      </c>
      <c r="D22" s="16">
        <f t="shared" si="0"/>
        <v>4</v>
      </c>
      <c r="J22" s="16" t="b">
        <f t="shared" si="1"/>
        <v>0</v>
      </c>
    </row>
    <row r="23" spans="1:10">
      <c r="A23" s="6" t="s">
        <v>30</v>
      </c>
      <c r="B23">
        <v>1</v>
      </c>
      <c r="C23">
        <v>0</v>
      </c>
      <c r="D23" s="16">
        <f t="shared" si="0"/>
        <v>0.5</v>
      </c>
      <c r="J23" s="16" t="b">
        <f t="shared" si="1"/>
        <v>0</v>
      </c>
    </row>
    <row r="24" spans="1:10">
      <c r="A24" s="6" t="s">
        <v>31</v>
      </c>
      <c r="B24">
        <v>0</v>
      </c>
      <c r="C24">
        <v>0</v>
      </c>
      <c r="D24" s="16">
        <f t="shared" si="0"/>
        <v>0</v>
      </c>
      <c r="J24" s="16" t="b">
        <f t="shared" si="1"/>
        <v>0</v>
      </c>
    </row>
    <row r="25" spans="1:10">
      <c r="A25" s="6" t="s">
        <v>32</v>
      </c>
      <c r="B25">
        <v>1</v>
      </c>
      <c r="C25">
        <v>24</v>
      </c>
      <c r="D25" s="16">
        <f t="shared" si="0"/>
        <v>12.5</v>
      </c>
      <c r="J25" s="16" t="b">
        <f t="shared" si="1"/>
        <v>0</v>
      </c>
    </row>
    <row r="26" spans="1:10">
      <c r="A26" s="6" t="s">
        <v>33</v>
      </c>
      <c r="B26">
        <v>0</v>
      </c>
      <c r="C26">
        <v>1</v>
      </c>
      <c r="D26" s="16">
        <f t="shared" si="0"/>
        <v>0.5</v>
      </c>
      <c r="J26" s="16" t="b">
        <f t="shared" si="1"/>
        <v>0</v>
      </c>
    </row>
    <row r="27" spans="1:10">
      <c r="A27" s="6" t="s">
        <v>34</v>
      </c>
      <c r="B27">
        <v>0</v>
      </c>
      <c r="C27">
        <v>1</v>
      </c>
      <c r="D27" s="16">
        <f t="shared" si="0"/>
        <v>0.5</v>
      </c>
      <c r="J27" s="16" t="b">
        <f t="shared" si="1"/>
        <v>0</v>
      </c>
    </row>
    <row r="28" spans="1:10">
      <c r="A28" s="6" t="s">
        <v>35</v>
      </c>
      <c r="B28">
        <v>0</v>
      </c>
      <c r="C28">
        <v>0</v>
      </c>
      <c r="D28" s="16">
        <f t="shared" si="0"/>
        <v>0</v>
      </c>
      <c r="J28" s="16" t="b">
        <f t="shared" si="1"/>
        <v>0</v>
      </c>
    </row>
    <row r="29" spans="1:10">
      <c r="A29" s="6" t="s">
        <v>36</v>
      </c>
      <c r="B29">
        <v>0</v>
      </c>
      <c r="C29">
        <v>0</v>
      </c>
      <c r="D29" s="16">
        <f t="shared" si="0"/>
        <v>0</v>
      </c>
      <c r="J29" s="16" t="b">
        <f t="shared" si="1"/>
        <v>0</v>
      </c>
    </row>
    <row r="30" spans="1:10">
      <c r="A30" s="6" t="s">
        <v>37</v>
      </c>
      <c r="B30">
        <v>138</v>
      </c>
      <c r="C30">
        <v>10</v>
      </c>
      <c r="D30" s="16">
        <f t="shared" si="0"/>
        <v>74</v>
      </c>
      <c r="J30" s="16" t="b">
        <f t="shared" si="1"/>
        <v>1</v>
      </c>
    </row>
    <row r="31" spans="1:10">
      <c r="A31" s="6" t="s">
        <v>38</v>
      </c>
      <c r="B31">
        <v>10</v>
      </c>
      <c r="C31">
        <v>3</v>
      </c>
      <c r="D31" s="16">
        <f t="shared" si="0"/>
        <v>6.5</v>
      </c>
      <c r="J31" s="16" t="b">
        <f t="shared" si="1"/>
        <v>0</v>
      </c>
    </row>
    <row r="32" spans="1:10">
      <c r="A32" s="6" t="s">
        <v>39</v>
      </c>
      <c r="B32">
        <v>0</v>
      </c>
      <c r="C32">
        <v>3</v>
      </c>
      <c r="D32" s="16">
        <f t="shared" si="0"/>
        <v>1.5</v>
      </c>
      <c r="J32" s="16" t="b">
        <f t="shared" si="1"/>
        <v>0</v>
      </c>
    </row>
    <row r="33" spans="1:10">
      <c r="A33" s="6" t="s">
        <v>40</v>
      </c>
      <c r="B33">
        <v>0</v>
      </c>
      <c r="C33">
        <v>46</v>
      </c>
      <c r="D33" s="16">
        <f t="shared" si="0"/>
        <v>23</v>
      </c>
      <c r="J33" s="16" t="b">
        <f t="shared" si="1"/>
        <v>1</v>
      </c>
    </row>
    <row r="34" spans="1:10">
      <c r="A34" s="6" t="s">
        <v>41</v>
      </c>
      <c r="B34">
        <v>86</v>
      </c>
      <c r="C34">
        <v>15</v>
      </c>
      <c r="D34" s="16">
        <f t="shared" si="0"/>
        <v>50.5</v>
      </c>
      <c r="J34" s="16" t="b">
        <f t="shared" si="1"/>
        <v>1</v>
      </c>
    </row>
    <row r="35" spans="1:10">
      <c r="A35" s="6" t="s">
        <v>42</v>
      </c>
      <c r="B35">
        <v>6</v>
      </c>
      <c r="C35">
        <v>8</v>
      </c>
      <c r="D35" s="16">
        <f t="shared" si="0"/>
        <v>7</v>
      </c>
      <c r="J35" s="16" t="b">
        <f t="shared" si="1"/>
        <v>0</v>
      </c>
    </row>
    <row r="36" spans="1:10">
      <c r="A36" s="6" t="s">
        <v>43</v>
      </c>
      <c r="B36">
        <v>0</v>
      </c>
      <c r="C36">
        <v>0</v>
      </c>
      <c r="D36" s="16">
        <f t="shared" si="0"/>
        <v>0</v>
      </c>
      <c r="J36" s="16" t="b">
        <f t="shared" si="1"/>
        <v>0</v>
      </c>
    </row>
    <row r="37" spans="1:10">
      <c r="A37" s="6" t="s">
        <v>44</v>
      </c>
      <c r="B37">
        <v>0</v>
      </c>
      <c r="C37">
        <v>25</v>
      </c>
      <c r="D37" s="16">
        <f t="shared" si="0"/>
        <v>12.5</v>
      </c>
      <c r="J37" s="16" t="b">
        <f t="shared" si="1"/>
        <v>0</v>
      </c>
    </row>
    <row r="38" spans="1:10">
      <c r="A38" s="6" t="s">
        <v>47</v>
      </c>
      <c r="B38">
        <v>9</v>
      </c>
      <c r="C38">
        <v>1</v>
      </c>
      <c r="D38" s="16">
        <f t="shared" si="0"/>
        <v>5</v>
      </c>
      <c r="J38" s="16" t="b">
        <f t="shared" si="1"/>
        <v>0</v>
      </c>
    </row>
    <row r="39" spans="1:10">
      <c r="A39" s="6" t="s">
        <v>49</v>
      </c>
      <c r="B39">
        <v>0</v>
      </c>
      <c r="C39">
        <v>0</v>
      </c>
      <c r="D39" s="16">
        <f t="shared" si="0"/>
        <v>0</v>
      </c>
      <c r="J39" s="16" t="b">
        <f t="shared" si="1"/>
        <v>0</v>
      </c>
    </row>
    <row r="40" spans="1:10">
      <c r="A40" s="6" t="s">
        <v>51</v>
      </c>
      <c r="B40">
        <v>3</v>
      </c>
      <c r="C40">
        <v>0</v>
      </c>
      <c r="D40" s="16">
        <f t="shared" si="0"/>
        <v>1.5</v>
      </c>
      <c r="J40" s="16" t="b">
        <f t="shared" si="1"/>
        <v>0</v>
      </c>
    </row>
    <row r="41" spans="1:10">
      <c r="A41" s="6" t="s">
        <v>53</v>
      </c>
      <c r="B41">
        <v>3</v>
      </c>
      <c r="C41">
        <v>4</v>
      </c>
      <c r="D41" s="16">
        <f t="shared" si="0"/>
        <v>3.5</v>
      </c>
      <c r="J41" s="16" t="b">
        <f t="shared" si="1"/>
        <v>0</v>
      </c>
    </row>
    <row r="42" spans="1:10">
      <c r="A42" s="6" t="s">
        <v>57</v>
      </c>
      <c r="B42">
        <v>2</v>
      </c>
      <c r="C42">
        <v>0</v>
      </c>
      <c r="D42" s="16">
        <f t="shared" si="0"/>
        <v>1</v>
      </c>
      <c r="J42" s="16" t="b">
        <f t="shared" si="1"/>
        <v>0</v>
      </c>
    </row>
    <row r="43" spans="1:10">
      <c r="A43" s="6" t="s">
        <v>59</v>
      </c>
      <c r="B43">
        <v>3</v>
      </c>
      <c r="C43">
        <v>5</v>
      </c>
      <c r="D43" s="16">
        <f t="shared" si="0"/>
        <v>4</v>
      </c>
      <c r="J43" s="16" t="b">
        <f t="shared" si="1"/>
        <v>0</v>
      </c>
    </row>
    <row r="44" spans="1:10">
      <c r="A44" s="6" t="s">
        <v>60</v>
      </c>
      <c r="B44">
        <v>3</v>
      </c>
      <c r="C44">
        <v>2</v>
      </c>
      <c r="D44" s="16">
        <f t="shared" si="0"/>
        <v>2.5</v>
      </c>
      <c r="J44" s="16" t="b">
        <f t="shared" si="1"/>
        <v>0</v>
      </c>
    </row>
    <row r="45" spans="1:10">
      <c r="A45" s="6" t="s">
        <v>61</v>
      </c>
      <c r="B45">
        <v>92</v>
      </c>
      <c r="C45">
        <v>0</v>
      </c>
      <c r="D45" s="16">
        <f t="shared" si="0"/>
        <v>46</v>
      </c>
      <c r="J45" s="16" t="b">
        <f t="shared" si="1"/>
        <v>1</v>
      </c>
    </row>
    <row r="46" spans="1:10">
      <c r="A46" s="6" t="s">
        <v>63</v>
      </c>
      <c r="B46">
        <v>12</v>
      </c>
      <c r="C46">
        <v>6</v>
      </c>
      <c r="D46" s="16">
        <f t="shared" si="0"/>
        <v>9</v>
      </c>
      <c r="J46" s="16" t="b">
        <f t="shared" si="1"/>
        <v>0</v>
      </c>
    </row>
    <row r="47" spans="1:10">
      <c r="A47" s="6" t="s">
        <v>65</v>
      </c>
      <c r="B47">
        <v>0</v>
      </c>
      <c r="C47">
        <v>0</v>
      </c>
      <c r="D47" s="16">
        <f t="shared" si="0"/>
        <v>0</v>
      </c>
      <c r="J47" s="16" t="b">
        <f t="shared" si="1"/>
        <v>0</v>
      </c>
    </row>
    <row r="48" spans="1:10">
      <c r="A48" s="6" t="s">
        <v>67</v>
      </c>
      <c r="B48">
        <v>2</v>
      </c>
      <c r="C48">
        <v>7</v>
      </c>
      <c r="D48" s="16">
        <f t="shared" si="0"/>
        <v>4.5</v>
      </c>
      <c r="J48" s="16" t="b">
        <f t="shared" si="1"/>
        <v>0</v>
      </c>
    </row>
    <row r="49" spans="1:10">
      <c r="A49" s="6" t="s">
        <v>68</v>
      </c>
      <c r="B49">
        <v>3</v>
      </c>
      <c r="C49">
        <v>6</v>
      </c>
      <c r="D49" s="16">
        <f t="shared" si="0"/>
        <v>4.5</v>
      </c>
      <c r="J49" s="16" t="b">
        <f t="shared" si="1"/>
        <v>0</v>
      </c>
    </row>
    <row r="50" spans="1:10">
      <c r="A50" s="6" t="s">
        <v>69</v>
      </c>
      <c r="B50">
        <v>0</v>
      </c>
      <c r="C50">
        <v>0</v>
      </c>
      <c r="D50" s="16">
        <f t="shared" si="0"/>
        <v>0</v>
      </c>
      <c r="J50" s="16" t="b">
        <f t="shared" si="1"/>
        <v>0</v>
      </c>
    </row>
    <row r="51" spans="1:10">
      <c r="A51" s="6" t="s">
        <v>71</v>
      </c>
      <c r="B51">
        <v>20</v>
      </c>
      <c r="C51">
        <v>4</v>
      </c>
      <c r="D51" s="16">
        <f t="shared" si="0"/>
        <v>12</v>
      </c>
      <c r="J51" s="16" t="b">
        <f t="shared" si="1"/>
        <v>0</v>
      </c>
    </row>
    <row r="52" spans="1:10">
      <c r="A52" s="6" t="s">
        <v>73</v>
      </c>
      <c r="B52">
        <v>8</v>
      </c>
      <c r="C52">
        <v>0</v>
      </c>
      <c r="D52" s="16">
        <f t="shared" si="0"/>
        <v>4</v>
      </c>
      <c r="J52" s="16" t="b">
        <f t="shared" si="1"/>
        <v>0</v>
      </c>
    </row>
    <row r="53" spans="1:10">
      <c r="A53" s="6" t="s">
        <v>75</v>
      </c>
      <c r="B53">
        <v>2</v>
      </c>
      <c r="C53">
        <v>1</v>
      </c>
      <c r="D53" s="16">
        <f t="shared" si="0"/>
        <v>1.5</v>
      </c>
      <c r="J53" s="16" t="b">
        <f t="shared" si="1"/>
        <v>0</v>
      </c>
    </row>
    <row r="54" spans="1:10">
      <c r="A54" s="6" t="s">
        <v>77</v>
      </c>
      <c r="B54">
        <v>0</v>
      </c>
      <c r="C54">
        <v>1</v>
      </c>
      <c r="D54" s="16">
        <f t="shared" si="0"/>
        <v>0.5</v>
      </c>
      <c r="J54" s="16" t="b">
        <f t="shared" si="1"/>
        <v>0</v>
      </c>
    </row>
    <row r="55" spans="1:10">
      <c r="A55" s="6" t="s">
        <v>78</v>
      </c>
      <c r="B55">
        <v>0</v>
      </c>
      <c r="C55">
        <v>12</v>
      </c>
      <c r="D55" s="16">
        <f t="shared" si="0"/>
        <v>6</v>
      </c>
      <c r="J55" s="16" t="b">
        <f t="shared" si="1"/>
        <v>0</v>
      </c>
    </row>
    <row r="56" spans="1:10">
      <c r="A56" s="6" t="s">
        <v>81</v>
      </c>
      <c r="B56">
        <v>0</v>
      </c>
      <c r="C56">
        <v>30</v>
      </c>
      <c r="D56" s="16">
        <f t="shared" si="0"/>
        <v>15</v>
      </c>
      <c r="J56" s="16" t="b">
        <f t="shared" si="1"/>
        <v>0</v>
      </c>
    </row>
    <row r="57" spans="1:10">
      <c r="A57" s="6" t="s">
        <v>85</v>
      </c>
      <c r="B57">
        <v>0</v>
      </c>
      <c r="C57">
        <v>25</v>
      </c>
      <c r="D57" s="16">
        <f t="shared" si="0"/>
        <v>12.5</v>
      </c>
      <c r="J57" s="16" t="b">
        <f t="shared" si="1"/>
        <v>0</v>
      </c>
    </row>
    <row r="58" spans="1:10">
      <c r="A58" s="6" t="s">
        <v>87</v>
      </c>
      <c r="B58">
        <v>0</v>
      </c>
      <c r="C58">
        <v>1</v>
      </c>
      <c r="D58" s="16">
        <f t="shared" si="0"/>
        <v>0.5</v>
      </c>
      <c r="J58" s="16" t="b">
        <f t="shared" si="1"/>
        <v>0</v>
      </c>
    </row>
    <row r="59" spans="1:10">
      <c r="A59" s="6" t="s">
        <v>89</v>
      </c>
      <c r="B59">
        <v>0</v>
      </c>
      <c r="C59">
        <v>38</v>
      </c>
      <c r="D59" s="16">
        <f t="shared" si="0"/>
        <v>19</v>
      </c>
      <c r="J59" s="16" t="b">
        <f t="shared" si="1"/>
        <v>1</v>
      </c>
    </row>
    <row r="60" spans="1:10">
      <c r="A60" s="6" t="s">
        <v>93</v>
      </c>
      <c r="B60">
        <v>24</v>
      </c>
      <c r="C60">
        <v>16</v>
      </c>
      <c r="D60" s="16">
        <f t="shared" si="0"/>
        <v>20</v>
      </c>
      <c r="J60" s="16" t="b">
        <f t="shared" si="1"/>
        <v>1</v>
      </c>
    </row>
    <row r="61" spans="1:10">
      <c r="A61" s="6" t="s">
        <v>95</v>
      </c>
      <c r="B61">
        <v>80</v>
      </c>
      <c r="C61">
        <v>7</v>
      </c>
      <c r="D61" s="16">
        <f t="shared" si="0"/>
        <v>43.5</v>
      </c>
      <c r="J61" s="16" t="b">
        <f t="shared" si="1"/>
        <v>1</v>
      </c>
    </row>
    <row r="62" spans="1:10">
      <c r="A62" s="6" t="s">
        <v>100</v>
      </c>
      <c r="B62">
        <v>41</v>
      </c>
      <c r="C62">
        <v>12</v>
      </c>
      <c r="D62" s="16">
        <f t="shared" si="0"/>
        <v>26.5</v>
      </c>
      <c r="J62" s="16" t="b">
        <f t="shared" si="1"/>
        <v>1</v>
      </c>
    </row>
    <row r="63" spans="1:10">
      <c r="A63" s="6" t="s">
        <v>104</v>
      </c>
      <c r="B63">
        <v>0</v>
      </c>
      <c r="C63">
        <v>29</v>
      </c>
      <c r="D63" s="16">
        <f t="shared" si="0"/>
        <v>14.5</v>
      </c>
      <c r="J63" s="16" t="b">
        <f t="shared" si="1"/>
        <v>0</v>
      </c>
    </row>
    <row r="64" spans="1:10">
      <c r="A64" s="6" t="s">
        <v>106</v>
      </c>
      <c r="B64">
        <v>0</v>
      </c>
      <c r="C64">
        <v>1</v>
      </c>
      <c r="D64" s="16">
        <f t="shared" si="0"/>
        <v>0.5</v>
      </c>
      <c r="J64" s="16" t="b">
        <f t="shared" si="1"/>
        <v>0</v>
      </c>
    </row>
    <row r="65" spans="1:10">
      <c r="A65" s="6" t="s">
        <v>109</v>
      </c>
      <c r="B65">
        <v>4</v>
      </c>
      <c r="C65">
        <v>30</v>
      </c>
      <c r="D65" s="16">
        <f t="shared" si="0"/>
        <v>17</v>
      </c>
      <c r="J65" s="16" t="b">
        <f t="shared" si="1"/>
        <v>1</v>
      </c>
    </row>
    <row r="66" spans="1:10">
      <c r="A66" s="6" t="s">
        <v>115</v>
      </c>
      <c r="B66">
        <v>0</v>
      </c>
      <c r="C66">
        <v>0</v>
      </c>
      <c r="D66" s="16">
        <f t="shared" si="0"/>
        <v>0</v>
      </c>
      <c r="J66" s="16" t="b">
        <f t="shared" si="1"/>
        <v>0</v>
      </c>
    </row>
    <row r="67" spans="1:10">
      <c r="A67" s="6" t="s">
        <v>119</v>
      </c>
      <c r="B67">
        <v>1</v>
      </c>
      <c r="C67">
        <v>0</v>
      </c>
      <c r="D67" s="16">
        <f t="shared" ref="D67:D130" si="2">AVERAGE(B67:C67)</f>
        <v>0.5</v>
      </c>
      <c r="J67" s="16" t="b">
        <f t="shared" ref="J67:J130" si="3">OR(D67&gt;$H$2,D67&lt;$I$2)</f>
        <v>0</v>
      </c>
    </row>
    <row r="68" spans="1:10">
      <c r="A68" s="6" t="s">
        <v>121</v>
      </c>
      <c r="B68">
        <v>1</v>
      </c>
      <c r="C68">
        <v>6</v>
      </c>
      <c r="D68" s="16">
        <f t="shared" si="2"/>
        <v>3.5</v>
      </c>
      <c r="J68" s="16" t="b">
        <f t="shared" si="3"/>
        <v>0</v>
      </c>
    </row>
    <row r="69" spans="1:10">
      <c r="A69" s="6" t="s">
        <v>123</v>
      </c>
      <c r="B69">
        <v>0</v>
      </c>
      <c r="C69">
        <v>8</v>
      </c>
      <c r="D69" s="16">
        <f t="shared" si="2"/>
        <v>4</v>
      </c>
      <c r="J69" s="16" t="b">
        <f t="shared" si="3"/>
        <v>0</v>
      </c>
    </row>
    <row r="70" spans="1:10">
      <c r="A70" s="6" t="s">
        <v>126</v>
      </c>
      <c r="B70">
        <v>0</v>
      </c>
      <c r="C70">
        <v>4</v>
      </c>
      <c r="D70" s="16">
        <f t="shared" si="2"/>
        <v>2</v>
      </c>
      <c r="J70" s="16" t="b">
        <f t="shared" si="3"/>
        <v>0</v>
      </c>
    </row>
    <row r="71" spans="1:10">
      <c r="A71" s="6" t="s">
        <v>128</v>
      </c>
      <c r="B71">
        <v>4</v>
      </c>
      <c r="C71">
        <v>2</v>
      </c>
      <c r="D71" s="16">
        <f t="shared" si="2"/>
        <v>3</v>
      </c>
      <c r="J71" s="16" t="b">
        <f t="shared" si="3"/>
        <v>0</v>
      </c>
    </row>
    <row r="72" spans="1:10">
      <c r="A72" s="6" t="s">
        <v>130</v>
      </c>
      <c r="B72">
        <v>0</v>
      </c>
      <c r="C72">
        <v>0</v>
      </c>
      <c r="D72" s="16">
        <f t="shared" si="2"/>
        <v>0</v>
      </c>
      <c r="J72" s="16" t="b">
        <f t="shared" si="3"/>
        <v>0</v>
      </c>
    </row>
    <row r="73" spans="1:10">
      <c r="A73" s="6" t="s">
        <v>134</v>
      </c>
      <c r="B73">
        <v>0</v>
      </c>
      <c r="C73">
        <v>16</v>
      </c>
      <c r="D73" s="16">
        <f t="shared" si="2"/>
        <v>8</v>
      </c>
      <c r="J73" s="16" t="b">
        <f t="shared" si="3"/>
        <v>0</v>
      </c>
    </row>
    <row r="74" spans="1:10">
      <c r="A74" s="6" t="s">
        <v>138</v>
      </c>
      <c r="B74">
        <v>0</v>
      </c>
      <c r="C74">
        <v>4</v>
      </c>
      <c r="D74" s="16">
        <f t="shared" si="2"/>
        <v>2</v>
      </c>
      <c r="J74" s="16" t="b">
        <f t="shared" si="3"/>
        <v>0</v>
      </c>
    </row>
    <row r="75" spans="1:10">
      <c r="A75" s="6" t="s">
        <v>141</v>
      </c>
      <c r="B75">
        <v>4</v>
      </c>
      <c r="C75">
        <v>2</v>
      </c>
      <c r="D75" s="16">
        <f t="shared" si="2"/>
        <v>3</v>
      </c>
      <c r="J75" s="16" t="b">
        <f t="shared" si="3"/>
        <v>0</v>
      </c>
    </row>
    <row r="76" spans="1:10">
      <c r="A76" s="6" t="s">
        <v>142</v>
      </c>
      <c r="B76">
        <v>0</v>
      </c>
      <c r="C76">
        <v>6</v>
      </c>
      <c r="D76" s="16">
        <f t="shared" si="2"/>
        <v>3</v>
      </c>
      <c r="J76" s="16" t="b">
        <f t="shared" si="3"/>
        <v>0</v>
      </c>
    </row>
    <row r="77" spans="1:10">
      <c r="A77" s="6" t="s">
        <v>143</v>
      </c>
      <c r="B77">
        <v>0</v>
      </c>
      <c r="C77">
        <v>27</v>
      </c>
      <c r="D77" s="16">
        <f t="shared" si="2"/>
        <v>13.5</v>
      </c>
      <c r="J77" s="16" t="b">
        <f t="shared" si="3"/>
        <v>0</v>
      </c>
    </row>
    <row r="78" spans="1:10">
      <c r="A78" s="6" t="s">
        <v>149</v>
      </c>
      <c r="B78">
        <v>0</v>
      </c>
      <c r="C78">
        <v>4</v>
      </c>
      <c r="D78" s="16">
        <f t="shared" si="2"/>
        <v>2</v>
      </c>
      <c r="J78" s="16" t="b">
        <f t="shared" si="3"/>
        <v>0</v>
      </c>
    </row>
    <row r="79" spans="1:10">
      <c r="A79" s="6" t="s">
        <v>151</v>
      </c>
      <c r="B79">
        <v>0</v>
      </c>
      <c r="C79">
        <v>4</v>
      </c>
      <c r="D79" s="16">
        <f t="shared" si="2"/>
        <v>2</v>
      </c>
      <c r="J79" s="16" t="b">
        <f t="shared" si="3"/>
        <v>0</v>
      </c>
    </row>
    <row r="80" spans="1:10">
      <c r="A80" s="6" t="s">
        <v>153</v>
      </c>
      <c r="B80">
        <v>0</v>
      </c>
      <c r="C80">
        <v>14</v>
      </c>
      <c r="D80" s="16">
        <f t="shared" si="2"/>
        <v>7</v>
      </c>
      <c r="J80" s="16" t="b">
        <f t="shared" si="3"/>
        <v>0</v>
      </c>
    </row>
    <row r="81" spans="1:10">
      <c r="A81" s="6" t="s">
        <v>155</v>
      </c>
      <c r="B81">
        <v>0</v>
      </c>
      <c r="C81">
        <v>0</v>
      </c>
      <c r="D81" s="16">
        <f t="shared" si="2"/>
        <v>0</v>
      </c>
      <c r="J81" s="16" t="b">
        <f t="shared" si="3"/>
        <v>0</v>
      </c>
    </row>
    <row r="82" spans="1:10">
      <c r="A82" s="6" t="s">
        <v>157</v>
      </c>
      <c r="B82">
        <v>154</v>
      </c>
      <c r="C82">
        <v>46</v>
      </c>
      <c r="D82" s="16">
        <f t="shared" si="2"/>
        <v>100</v>
      </c>
      <c r="J82" s="16" t="b">
        <f t="shared" si="3"/>
        <v>1</v>
      </c>
    </row>
    <row r="83" spans="1:10">
      <c r="A83" s="6" t="s">
        <v>163</v>
      </c>
      <c r="B83">
        <v>0</v>
      </c>
      <c r="C83">
        <v>9</v>
      </c>
      <c r="D83" s="16">
        <f t="shared" si="2"/>
        <v>4.5</v>
      </c>
      <c r="J83" s="16" t="b">
        <f t="shared" si="3"/>
        <v>0</v>
      </c>
    </row>
    <row r="84" spans="1:10">
      <c r="A84" s="6" t="s">
        <v>166</v>
      </c>
      <c r="B84">
        <v>0</v>
      </c>
      <c r="C84">
        <v>112</v>
      </c>
      <c r="D84" s="16">
        <f t="shared" si="2"/>
        <v>56</v>
      </c>
      <c r="J84" s="16" t="b">
        <f t="shared" si="3"/>
        <v>1</v>
      </c>
    </row>
    <row r="85" spans="1:10">
      <c r="A85" s="6" t="s">
        <v>169</v>
      </c>
      <c r="B85">
        <v>0</v>
      </c>
      <c r="C85">
        <v>12</v>
      </c>
      <c r="D85" s="16">
        <f t="shared" si="2"/>
        <v>6</v>
      </c>
      <c r="J85" s="16" t="b">
        <f t="shared" si="3"/>
        <v>0</v>
      </c>
    </row>
    <row r="86" spans="1:10">
      <c r="A86" s="6" t="s">
        <v>172</v>
      </c>
      <c r="B86">
        <v>0</v>
      </c>
      <c r="C86">
        <v>1</v>
      </c>
      <c r="D86" s="16">
        <f t="shared" si="2"/>
        <v>0.5</v>
      </c>
      <c r="J86" s="16" t="b">
        <f t="shared" si="3"/>
        <v>0</v>
      </c>
    </row>
    <row r="87" spans="1:10">
      <c r="A87" s="6" t="s">
        <v>174</v>
      </c>
      <c r="B87">
        <v>9</v>
      </c>
      <c r="C87">
        <v>4</v>
      </c>
      <c r="D87" s="16">
        <f t="shared" si="2"/>
        <v>6.5</v>
      </c>
      <c r="J87" s="16" t="b">
        <f t="shared" si="3"/>
        <v>0</v>
      </c>
    </row>
    <row r="88" spans="1:10">
      <c r="A88" s="6" t="s">
        <v>177</v>
      </c>
      <c r="B88">
        <v>0</v>
      </c>
      <c r="C88">
        <v>0</v>
      </c>
      <c r="D88" s="16">
        <f t="shared" si="2"/>
        <v>0</v>
      </c>
      <c r="J88" s="16" t="b">
        <f t="shared" si="3"/>
        <v>0</v>
      </c>
    </row>
    <row r="89" spans="1:10">
      <c r="A89" s="6" t="s">
        <v>179</v>
      </c>
      <c r="B89">
        <v>0</v>
      </c>
      <c r="C89">
        <v>0</v>
      </c>
      <c r="D89" s="16">
        <f t="shared" si="2"/>
        <v>0</v>
      </c>
      <c r="J89" s="16" t="b">
        <f t="shared" si="3"/>
        <v>0</v>
      </c>
    </row>
    <row r="90" spans="1:10">
      <c r="A90" s="6" t="s">
        <v>180</v>
      </c>
      <c r="B90">
        <v>0</v>
      </c>
      <c r="C90">
        <v>0</v>
      </c>
      <c r="D90" s="16">
        <f t="shared" si="2"/>
        <v>0</v>
      </c>
      <c r="J90" s="16" t="b">
        <f t="shared" si="3"/>
        <v>0</v>
      </c>
    </row>
    <row r="91" spans="1:10">
      <c r="A91" s="6" t="s">
        <v>181</v>
      </c>
      <c r="B91">
        <v>0</v>
      </c>
      <c r="C91">
        <v>0</v>
      </c>
      <c r="D91" s="16">
        <f t="shared" si="2"/>
        <v>0</v>
      </c>
      <c r="J91" s="16" t="b">
        <f t="shared" si="3"/>
        <v>0</v>
      </c>
    </row>
    <row r="92" spans="1:10">
      <c r="A92" s="6" t="s">
        <v>182</v>
      </c>
      <c r="B92">
        <v>0</v>
      </c>
      <c r="C92">
        <v>0</v>
      </c>
      <c r="D92" s="16">
        <f t="shared" si="2"/>
        <v>0</v>
      </c>
      <c r="J92" s="16" t="b">
        <f t="shared" si="3"/>
        <v>0</v>
      </c>
    </row>
    <row r="93" spans="1:10">
      <c r="A93" s="6" t="s">
        <v>183</v>
      </c>
      <c r="B93">
        <v>0</v>
      </c>
      <c r="C93">
        <v>0</v>
      </c>
      <c r="D93" s="16">
        <f t="shared" si="2"/>
        <v>0</v>
      </c>
      <c r="J93" s="16" t="b">
        <f t="shared" si="3"/>
        <v>0</v>
      </c>
    </row>
    <row r="94" spans="1:10">
      <c r="A94" s="6" t="s">
        <v>184</v>
      </c>
      <c r="B94">
        <v>0</v>
      </c>
      <c r="C94">
        <v>0</v>
      </c>
      <c r="D94" s="16">
        <f t="shared" si="2"/>
        <v>0</v>
      </c>
      <c r="J94" s="16" t="b">
        <f t="shared" si="3"/>
        <v>0</v>
      </c>
    </row>
    <row r="95" spans="1:10">
      <c r="A95" s="6" t="s">
        <v>185</v>
      </c>
      <c r="B95">
        <v>0</v>
      </c>
      <c r="C95">
        <v>0</v>
      </c>
      <c r="D95" s="16">
        <f t="shared" si="2"/>
        <v>0</v>
      </c>
      <c r="J95" s="16" t="b">
        <f t="shared" si="3"/>
        <v>0</v>
      </c>
    </row>
    <row r="96" spans="1:10">
      <c r="A96" s="6" t="s">
        <v>187</v>
      </c>
      <c r="B96">
        <v>0</v>
      </c>
      <c r="C96">
        <v>6</v>
      </c>
      <c r="D96" s="16">
        <f t="shared" si="2"/>
        <v>3</v>
      </c>
      <c r="J96" s="16" t="b">
        <f t="shared" si="3"/>
        <v>0</v>
      </c>
    </row>
    <row r="97" spans="1:10">
      <c r="A97" s="6" t="s">
        <v>190</v>
      </c>
      <c r="B97">
        <v>24</v>
      </c>
      <c r="C97">
        <v>2</v>
      </c>
      <c r="D97" s="16">
        <f t="shared" si="2"/>
        <v>13</v>
      </c>
      <c r="J97" s="16" t="b">
        <f t="shared" si="3"/>
        <v>0</v>
      </c>
    </row>
    <row r="98" spans="1:10">
      <c r="A98" s="6" t="s">
        <v>197</v>
      </c>
      <c r="B98">
        <v>0</v>
      </c>
      <c r="C98">
        <v>8</v>
      </c>
      <c r="D98" s="16">
        <f t="shared" si="2"/>
        <v>4</v>
      </c>
      <c r="J98" s="16" t="b">
        <f t="shared" si="3"/>
        <v>0</v>
      </c>
    </row>
    <row r="99" spans="1:10">
      <c r="A99" s="6" t="s">
        <v>199</v>
      </c>
      <c r="B99">
        <v>8</v>
      </c>
      <c r="C99">
        <v>37</v>
      </c>
      <c r="D99" s="16">
        <f t="shared" si="2"/>
        <v>22.5</v>
      </c>
      <c r="J99" s="16" t="b">
        <f t="shared" si="3"/>
        <v>1</v>
      </c>
    </row>
    <row r="100" spans="1:10">
      <c r="A100" s="6" t="s">
        <v>205</v>
      </c>
      <c r="B100">
        <v>1</v>
      </c>
      <c r="C100">
        <v>4</v>
      </c>
      <c r="D100" s="16">
        <f t="shared" si="2"/>
        <v>2.5</v>
      </c>
      <c r="J100" s="16" t="b">
        <f t="shared" si="3"/>
        <v>0</v>
      </c>
    </row>
    <row r="101" spans="1:10">
      <c r="A101" s="6" t="s">
        <v>209</v>
      </c>
      <c r="B101">
        <v>0</v>
      </c>
      <c r="C101">
        <v>0</v>
      </c>
      <c r="D101" s="16">
        <f t="shared" si="2"/>
        <v>0</v>
      </c>
      <c r="J101" s="16" t="b">
        <f t="shared" si="3"/>
        <v>0</v>
      </c>
    </row>
    <row r="102" spans="1:10">
      <c r="A102" s="6" t="s">
        <v>211</v>
      </c>
      <c r="B102">
        <v>0</v>
      </c>
      <c r="C102">
        <v>0</v>
      </c>
      <c r="D102" s="16">
        <f t="shared" si="2"/>
        <v>0</v>
      </c>
      <c r="J102" s="16" t="b">
        <f t="shared" si="3"/>
        <v>0</v>
      </c>
    </row>
    <row r="103" spans="1:10">
      <c r="A103" s="6" t="s">
        <v>212</v>
      </c>
      <c r="B103">
        <v>0</v>
      </c>
      <c r="C103">
        <v>2</v>
      </c>
      <c r="D103" s="16">
        <f t="shared" si="2"/>
        <v>1</v>
      </c>
      <c r="J103" s="16" t="b">
        <f t="shared" si="3"/>
        <v>0</v>
      </c>
    </row>
    <row r="104" spans="1:10">
      <c r="A104" s="6" t="s">
        <v>214</v>
      </c>
      <c r="B104">
        <v>0</v>
      </c>
      <c r="C104">
        <v>0</v>
      </c>
      <c r="D104" s="16">
        <f t="shared" si="2"/>
        <v>0</v>
      </c>
      <c r="J104" s="16" t="b">
        <f t="shared" si="3"/>
        <v>0</v>
      </c>
    </row>
    <row r="105" spans="1:10">
      <c r="A105" s="6" t="s">
        <v>216</v>
      </c>
      <c r="B105">
        <v>0</v>
      </c>
      <c r="C105">
        <v>0</v>
      </c>
      <c r="D105" s="16">
        <f t="shared" si="2"/>
        <v>0</v>
      </c>
      <c r="J105" s="16" t="b">
        <f t="shared" si="3"/>
        <v>0</v>
      </c>
    </row>
    <row r="106" spans="1:10">
      <c r="A106" s="6" t="s">
        <v>217</v>
      </c>
      <c r="B106">
        <v>0</v>
      </c>
      <c r="C106">
        <v>0</v>
      </c>
      <c r="D106" s="16">
        <f t="shared" si="2"/>
        <v>0</v>
      </c>
      <c r="J106" s="16" t="b">
        <f t="shared" si="3"/>
        <v>0</v>
      </c>
    </row>
    <row r="107" spans="1:10">
      <c r="A107" s="6" t="s">
        <v>218</v>
      </c>
      <c r="B107">
        <v>0</v>
      </c>
      <c r="C107">
        <v>0</v>
      </c>
      <c r="D107" s="16">
        <f t="shared" si="2"/>
        <v>0</v>
      </c>
      <c r="J107" s="16" t="b">
        <f t="shared" si="3"/>
        <v>0</v>
      </c>
    </row>
    <row r="108" spans="1:10">
      <c r="A108" s="6" t="s">
        <v>219</v>
      </c>
      <c r="B108">
        <v>0</v>
      </c>
      <c r="C108">
        <v>0</v>
      </c>
      <c r="D108" s="16">
        <f t="shared" si="2"/>
        <v>0</v>
      </c>
      <c r="J108" s="16" t="b">
        <f t="shared" si="3"/>
        <v>0</v>
      </c>
    </row>
    <row r="109" spans="1:10">
      <c r="A109" s="6" t="s">
        <v>220</v>
      </c>
      <c r="B109">
        <v>0</v>
      </c>
      <c r="C109">
        <v>0</v>
      </c>
      <c r="D109" s="16">
        <f t="shared" si="2"/>
        <v>0</v>
      </c>
      <c r="J109" s="16" t="b">
        <f t="shared" si="3"/>
        <v>0</v>
      </c>
    </row>
    <row r="110" spans="1:10">
      <c r="A110" s="6" t="s">
        <v>221</v>
      </c>
      <c r="B110">
        <v>0</v>
      </c>
      <c r="C110">
        <v>1</v>
      </c>
      <c r="D110" s="16">
        <f t="shared" si="2"/>
        <v>0.5</v>
      </c>
      <c r="J110" s="16" t="b">
        <f t="shared" si="3"/>
        <v>0</v>
      </c>
    </row>
    <row r="111" spans="1:10">
      <c r="A111" s="6" t="s">
        <v>224</v>
      </c>
      <c r="B111">
        <v>0</v>
      </c>
      <c r="C111">
        <v>0</v>
      </c>
      <c r="D111" s="16">
        <f t="shared" si="2"/>
        <v>0</v>
      </c>
      <c r="J111" s="16" t="b">
        <f t="shared" si="3"/>
        <v>0</v>
      </c>
    </row>
    <row r="112" spans="1:10">
      <c r="A112" s="6" t="s">
        <v>226</v>
      </c>
      <c r="B112">
        <v>0</v>
      </c>
      <c r="C112">
        <v>0</v>
      </c>
      <c r="D112" s="16">
        <f t="shared" si="2"/>
        <v>0</v>
      </c>
      <c r="J112" s="16" t="b">
        <f t="shared" si="3"/>
        <v>0</v>
      </c>
    </row>
    <row r="113" spans="1:10">
      <c r="A113" s="6" t="s">
        <v>228</v>
      </c>
      <c r="B113">
        <v>15</v>
      </c>
      <c r="C113">
        <v>2</v>
      </c>
      <c r="D113" s="16">
        <f t="shared" si="2"/>
        <v>8.5</v>
      </c>
      <c r="J113" s="16" t="b">
        <f t="shared" si="3"/>
        <v>0</v>
      </c>
    </row>
    <row r="114" spans="1:10">
      <c r="A114" s="6" t="s">
        <v>230</v>
      </c>
      <c r="B114">
        <v>6</v>
      </c>
      <c r="C114">
        <v>0</v>
      </c>
      <c r="D114" s="16">
        <f t="shared" si="2"/>
        <v>3</v>
      </c>
      <c r="J114" s="16" t="b">
        <f t="shared" si="3"/>
        <v>0</v>
      </c>
    </row>
    <row r="115" spans="1:10">
      <c r="A115" s="6" t="s">
        <v>231</v>
      </c>
      <c r="B115">
        <v>0</v>
      </c>
      <c r="C115">
        <v>9</v>
      </c>
      <c r="D115" s="16">
        <f t="shared" si="2"/>
        <v>4.5</v>
      </c>
      <c r="J115" s="16" t="b">
        <f t="shared" si="3"/>
        <v>0</v>
      </c>
    </row>
    <row r="116" spans="1:10">
      <c r="A116" s="6" t="s">
        <v>234</v>
      </c>
      <c r="B116">
        <v>0</v>
      </c>
      <c r="C116">
        <v>3</v>
      </c>
      <c r="D116" s="16">
        <f t="shared" si="2"/>
        <v>1.5</v>
      </c>
      <c r="J116" s="16" t="b">
        <f t="shared" si="3"/>
        <v>0</v>
      </c>
    </row>
    <row r="117" spans="1:10">
      <c r="A117" s="6" t="s">
        <v>235</v>
      </c>
      <c r="B117">
        <v>0</v>
      </c>
      <c r="C117">
        <v>2</v>
      </c>
      <c r="D117" s="16">
        <f t="shared" si="2"/>
        <v>1</v>
      </c>
      <c r="J117" s="16" t="b">
        <f t="shared" si="3"/>
        <v>0</v>
      </c>
    </row>
    <row r="118" spans="1:10">
      <c r="A118" s="6" t="s">
        <v>236</v>
      </c>
      <c r="B118">
        <v>0</v>
      </c>
      <c r="C118">
        <v>3</v>
      </c>
      <c r="D118" s="16">
        <f t="shared" si="2"/>
        <v>1.5</v>
      </c>
      <c r="J118" s="16" t="b">
        <f t="shared" si="3"/>
        <v>0</v>
      </c>
    </row>
    <row r="119" spans="1:10">
      <c r="A119" s="6" t="s">
        <v>237</v>
      </c>
      <c r="B119">
        <v>0</v>
      </c>
      <c r="C119">
        <v>4</v>
      </c>
      <c r="D119" s="16">
        <f t="shared" si="2"/>
        <v>2</v>
      </c>
      <c r="J119" s="16" t="b">
        <f t="shared" si="3"/>
        <v>0</v>
      </c>
    </row>
    <row r="120" spans="1:10">
      <c r="A120" s="6" t="s">
        <v>238</v>
      </c>
      <c r="B120">
        <v>0</v>
      </c>
      <c r="C120">
        <v>21</v>
      </c>
      <c r="D120" s="16">
        <f t="shared" si="2"/>
        <v>10.5</v>
      </c>
      <c r="J120" s="16" t="b">
        <f t="shared" si="3"/>
        <v>0</v>
      </c>
    </row>
    <row r="121" spans="1:10">
      <c r="A121" s="6" t="s">
        <v>240</v>
      </c>
      <c r="B121">
        <v>0</v>
      </c>
      <c r="C121">
        <v>12</v>
      </c>
      <c r="D121" s="16">
        <f t="shared" si="2"/>
        <v>6</v>
      </c>
      <c r="J121" s="16" t="b">
        <f t="shared" si="3"/>
        <v>0</v>
      </c>
    </row>
    <row r="122" spans="1:10">
      <c r="A122" s="6" t="s">
        <v>245</v>
      </c>
      <c r="B122">
        <v>0</v>
      </c>
      <c r="C122">
        <v>2</v>
      </c>
      <c r="D122" s="16">
        <f t="shared" si="2"/>
        <v>1</v>
      </c>
      <c r="J122" s="16" t="b">
        <f t="shared" si="3"/>
        <v>0</v>
      </c>
    </row>
    <row r="123" spans="1:10">
      <c r="A123" s="6" t="s">
        <v>247</v>
      </c>
      <c r="B123">
        <v>0</v>
      </c>
      <c r="C123">
        <v>0</v>
      </c>
      <c r="D123" s="16">
        <f t="shared" si="2"/>
        <v>0</v>
      </c>
      <c r="J123" s="16" t="b">
        <f t="shared" si="3"/>
        <v>0</v>
      </c>
    </row>
    <row r="124" spans="1:10">
      <c r="A124" s="6" t="s">
        <v>249</v>
      </c>
      <c r="B124">
        <v>1</v>
      </c>
      <c r="C124">
        <v>0</v>
      </c>
      <c r="D124" s="16">
        <f t="shared" si="2"/>
        <v>0.5</v>
      </c>
      <c r="J124" s="16" t="b">
        <f t="shared" si="3"/>
        <v>0</v>
      </c>
    </row>
    <row r="125" spans="1:10">
      <c r="A125" s="6" t="s">
        <v>252</v>
      </c>
      <c r="B125">
        <v>1</v>
      </c>
      <c r="C125">
        <v>1</v>
      </c>
      <c r="D125" s="16">
        <f t="shared" si="2"/>
        <v>1</v>
      </c>
      <c r="J125" s="16" t="b">
        <f t="shared" si="3"/>
        <v>0</v>
      </c>
    </row>
    <row r="126" spans="1:10">
      <c r="A126" s="6" t="s">
        <v>254</v>
      </c>
      <c r="B126">
        <v>0</v>
      </c>
      <c r="C126">
        <v>3</v>
      </c>
      <c r="D126" s="16">
        <f t="shared" si="2"/>
        <v>1.5</v>
      </c>
      <c r="J126" s="16" t="b">
        <f t="shared" si="3"/>
        <v>0</v>
      </c>
    </row>
    <row r="127" spans="1:10">
      <c r="A127" s="6" t="s">
        <v>256</v>
      </c>
      <c r="B127">
        <v>0</v>
      </c>
      <c r="C127">
        <v>0</v>
      </c>
      <c r="D127" s="16">
        <f t="shared" si="2"/>
        <v>0</v>
      </c>
      <c r="J127" s="16" t="b">
        <f t="shared" si="3"/>
        <v>0</v>
      </c>
    </row>
    <row r="128" spans="1:10">
      <c r="A128" s="6" t="s">
        <v>258</v>
      </c>
      <c r="B128">
        <v>15</v>
      </c>
      <c r="C128">
        <v>2</v>
      </c>
      <c r="D128" s="16">
        <f t="shared" si="2"/>
        <v>8.5</v>
      </c>
      <c r="J128" s="16" t="b">
        <f t="shared" si="3"/>
        <v>0</v>
      </c>
    </row>
    <row r="129" spans="1:10">
      <c r="A129" s="6" t="s">
        <v>259</v>
      </c>
      <c r="B129">
        <v>6</v>
      </c>
      <c r="C129">
        <v>0</v>
      </c>
      <c r="D129" s="16">
        <f t="shared" si="2"/>
        <v>3</v>
      </c>
      <c r="J129" s="16" t="b">
        <f t="shared" si="3"/>
        <v>0</v>
      </c>
    </row>
    <row r="130" spans="1:10">
      <c r="A130" s="6" t="s">
        <v>260</v>
      </c>
      <c r="B130">
        <v>0</v>
      </c>
      <c r="C130">
        <v>10</v>
      </c>
      <c r="D130" s="16">
        <f t="shared" si="2"/>
        <v>5</v>
      </c>
      <c r="J130" s="16" t="b">
        <f t="shared" si="3"/>
        <v>0</v>
      </c>
    </row>
    <row r="131" spans="1:10">
      <c r="A131" s="6" t="s">
        <v>263</v>
      </c>
      <c r="B131">
        <v>5</v>
      </c>
      <c r="C131">
        <v>1</v>
      </c>
      <c r="D131" s="16">
        <f t="shared" ref="D131:D194" si="4">AVERAGE(B131:C131)</f>
        <v>3</v>
      </c>
      <c r="J131" s="16" t="b">
        <f t="shared" ref="J131:J194" si="5">OR(D131&gt;$H$2,D131&lt;$I$2)</f>
        <v>0</v>
      </c>
    </row>
    <row r="132" spans="1:10">
      <c r="A132" s="6" t="s">
        <v>274</v>
      </c>
      <c r="B132">
        <v>0</v>
      </c>
      <c r="C132">
        <v>0</v>
      </c>
      <c r="D132" s="16">
        <f t="shared" si="4"/>
        <v>0</v>
      </c>
      <c r="J132" s="16" t="b">
        <f t="shared" si="5"/>
        <v>0</v>
      </c>
    </row>
    <row r="133" spans="1:10">
      <c r="A133" s="6" t="s">
        <v>275</v>
      </c>
      <c r="B133">
        <v>5</v>
      </c>
      <c r="C133">
        <v>7</v>
      </c>
      <c r="D133" s="16">
        <f t="shared" si="4"/>
        <v>6</v>
      </c>
      <c r="J133" s="16" t="b">
        <f t="shared" si="5"/>
        <v>0</v>
      </c>
    </row>
    <row r="134" spans="1:10">
      <c r="A134" s="6" t="s">
        <v>276</v>
      </c>
      <c r="B134">
        <v>0</v>
      </c>
      <c r="C134">
        <v>0</v>
      </c>
      <c r="D134" s="16">
        <f t="shared" si="4"/>
        <v>0</v>
      </c>
      <c r="J134" s="16" t="b">
        <f t="shared" si="5"/>
        <v>0</v>
      </c>
    </row>
    <row r="135" spans="1:10">
      <c r="A135" s="6" t="s">
        <v>277</v>
      </c>
      <c r="B135">
        <v>13</v>
      </c>
      <c r="C135">
        <v>3</v>
      </c>
      <c r="D135" s="16">
        <f t="shared" si="4"/>
        <v>8</v>
      </c>
      <c r="J135" s="16" t="b">
        <f t="shared" si="5"/>
        <v>0</v>
      </c>
    </row>
    <row r="136" spans="1:10">
      <c r="A136" s="6" t="s">
        <v>278</v>
      </c>
      <c r="B136">
        <v>0</v>
      </c>
      <c r="C136">
        <v>0</v>
      </c>
      <c r="D136" s="16">
        <f t="shared" si="4"/>
        <v>0</v>
      </c>
      <c r="J136" s="16" t="b">
        <f t="shared" si="5"/>
        <v>0</v>
      </c>
    </row>
    <row r="137" spans="1:10">
      <c r="A137" s="6" t="s">
        <v>285</v>
      </c>
      <c r="B137">
        <v>0</v>
      </c>
      <c r="C137">
        <v>0</v>
      </c>
      <c r="D137" s="16">
        <f t="shared" si="4"/>
        <v>0</v>
      </c>
      <c r="J137" s="16" t="b">
        <f t="shared" si="5"/>
        <v>0</v>
      </c>
    </row>
    <row r="138" spans="1:10">
      <c r="A138" s="6" t="s">
        <v>286</v>
      </c>
      <c r="B138">
        <v>5</v>
      </c>
      <c r="C138">
        <v>1</v>
      </c>
      <c r="D138" s="16">
        <f t="shared" si="4"/>
        <v>3</v>
      </c>
      <c r="J138" s="16" t="b">
        <f t="shared" si="5"/>
        <v>0</v>
      </c>
    </row>
    <row r="139" spans="1:10">
      <c r="A139" s="6" t="s">
        <v>287</v>
      </c>
      <c r="B139">
        <v>0</v>
      </c>
      <c r="C139">
        <v>0</v>
      </c>
      <c r="D139" s="16">
        <f t="shared" si="4"/>
        <v>0</v>
      </c>
      <c r="J139" s="16" t="b">
        <f t="shared" si="5"/>
        <v>0</v>
      </c>
    </row>
    <row r="140" spans="1:10">
      <c r="A140" s="6" t="s">
        <v>288</v>
      </c>
      <c r="B140">
        <v>17</v>
      </c>
      <c r="C140">
        <v>33</v>
      </c>
      <c r="D140" s="16">
        <f t="shared" si="4"/>
        <v>25</v>
      </c>
      <c r="J140" s="16" t="b">
        <f t="shared" si="5"/>
        <v>1</v>
      </c>
    </row>
    <row r="141" spans="1:10">
      <c r="A141" s="6" t="s">
        <v>290</v>
      </c>
      <c r="B141">
        <v>0</v>
      </c>
      <c r="C141">
        <v>3</v>
      </c>
      <c r="D141" s="16">
        <f t="shared" si="4"/>
        <v>1.5</v>
      </c>
      <c r="J141" s="16" t="b">
        <f t="shared" si="5"/>
        <v>0</v>
      </c>
    </row>
    <row r="142" spans="1:10">
      <c r="A142" s="6" t="s">
        <v>291</v>
      </c>
      <c r="B142">
        <v>0</v>
      </c>
      <c r="C142">
        <v>0</v>
      </c>
      <c r="D142" s="16">
        <f t="shared" si="4"/>
        <v>0</v>
      </c>
      <c r="J142" s="16" t="b">
        <f t="shared" si="5"/>
        <v>0</v>
      </c>
    </row>
    <row r="143" spans="1:10">
      <c r="A143" s="6" t="s">
        <v>292</v>
      </c>
      <c r="B143">
        <v>0</v>
      </c>
      <c r="C143">
        <v>1</v>
      </c>
      <c r="D143" s="16">
        <f t="shared" si="4"/>
        <v>0.5</v>
      </c>
      <c r="J143" s="16" t="b">
        <f t="shared" si="5"/>
        <v>0</v>
      </c>
    </row>
    <row r="144" spans="1:10">
      <c r="A144" s="6" t="s">
        <v>293</v>
      </c>
      <c r="B144">
        <v>0</v>
      </c>
      <c r="C144">
        <v>0</v>
      </c>
      <c r="D144" s="16">
        <f t="shared" si="4"/>
        <v>0</v>
      </c>
      <c r="J144" s="16" t="b">
        <f t="shared" si="5"/>
        <v>0</v>
      </c>
    </row>
    <row r="145" spans="1:10">
      <c r="A145" s="6" t="s">
        <v>294</v>
      </c>
      <c r="B145">
        <v>0</v>
      </c>
      <c r="C145">
        <v>0</v>
      </c>
      <c r="D145" s="16">
        <f t="shared" si="4"/>
        <v>0</v>
      </c>
      <c r="J145" s="16" t="b">
        <f t="shared" si="5"/>
        <v>0</v>
      </c>
    </row>
    <row r="146" spans="1:10">
      <c r="A146" s="6" t="s">
        <v>295</v>
      </c>
      <c r="B146">
        <v>0</v>
      </c>
      <c r="C146">
        <v>0</v>
      </c>
      <c r="D146" s="16">
        <f t="shared" si="4"/>
        <v>0</v>
      </c>
      <c r="J146" s="16" t="b">
        <f t="shared" si="5"/>
        <v>0</v>
      </c>
    </row>
    <row r="147" spans="1:10">
      <c r="A147" s="6" t="s">
        <v>297</v>
      </c>
      <c r="B147">
        <v>11</v>
      </c>
      <c r="C147">
        <v>31</v>
      </c>
      <c r="D147" s="16">
        <f t="shared" si="4"/>
        <v>21</v>
      </c>
      <c r="J147" s="16" t="b">
        <f t="shared" si="5"/>
        <v>1</v>
      </c>
    </row>
    <row r="148" spans="1:10">
      <c r="A148" s="6" t="s">
        <v>298</v>
      </c>
      <c r="B148">
        <v>0</v>
      </c>
      <c r="C148">
        <v>1</v>
      </c>
      <c r="D148" s="16">
        <f t="shared" si="4"/>
        <v>0.5</v>
      </c>
      <c r="J148" s="16" t="b">
        <f t="shared" si="5"/>
        <v>0</v>
      </c>
    </row>
    <row r="149" spans="1:10">
      <c r="A149" s="6" t="s">
        <v>299</v>
      </c>
      <c r="B149">
        <v>4</v>
      </c>
      <c r="C149">
        <v>11</v>
      </c>
      <c r="D149" s="16">
        <f t="shared" si="4"/>
        <v>7.5</v>
      </c>
      <c r="J149" s="16" t="b">
        <f t="shared" si="5"/>
        <v>0</v>
      </c>
    </row>
    <row r="150" spans="1:10">
      <c r="A150" s="6" t="s">
        <v>300</v>
      </c>
      <c r="B150">
        <v>0</v>
      </c>
      <c r="C150">
        <v>3</v>
      </c>
      <c r="D150" s="16">
        <f t="shared" si="4"/>
        <v>1.5</v>
      </c>
      <c r="J150" s="16" t="b">
        <f t="shared" si="5"/>
        <v>0</v>
      </c>
    </row>
    <row r="151" spans="1:10">
      <c r="A151" s="6" t="s">
        <v>301</v>
      </c>
      <c r="B151">
        <v>0</v>
      </c>
      <c r="C151">
        <v>2</v>
      </c>
      <c r="D151" s="16">
        <f t="shared" si="4"/>
        <v>1</v>
      </c>
      <c r="J151" s="16" t="b">
        <f t="shared" si="5"/>
        <v>0</v>
      </c>
    </row>
    <row r="152" spans="1:10">
      <c r="A152" s="6" t="s">
        <v>302</v>
      </c>
      <c r="B152">
        <v>126</v>
      </c>
      <c r="C152">
        <v>193</v>
      </c>
      <c r="D152" s="16">
        <f t="shared" si="4"/>
        <v>159.5</v>
      </c>
      <c r="J152" s="16" t="b">
        <f t="shared" si="5"/>
        <v>1</v>
      </c>
    </row>
    <row r="153" spans="1:10">
      <c r="A153" s="6" t="s">
        <v>304</v>
      </c>
      <c r="B153">
        <v>0</v>
      </c>
      <c r="C153">
        <v>0</v>
      </c>
      <c r="D153" s="16">
        <f t="shared" si="4"/>
        <v>0</v>
      </c>
      <c r="J153" s="16" t="b">
        <f t="shared" si="5"/>
        <v>0</v>
      </c>
    </row>
    <row r="154" spans="1:10">
      <c r="A154" s="6" t="s">
        <v>305</v>
      </c>
      <c r="B154">
        <v>0</v>
      </c>
      <c r="C154">
        <v>0</v>
      </c>
      <c r="D154" s="16">
        <f t="shared" si="4"/>
        <v>0</v>
      </c>
      <c r="J154" s="16" t="b">
        <f t="shared" si="5"/>
        <v>0</v>
      </c>
    </row>
    <row r="155" spans="1:10">
      <c r="A155" s="6" t="s">
        <v>306</v>
      </c>
      <c r="B155">
        <v>0</v>
      </c>
      <c r="C155">
        <v>4</v>
      </c>
      <c r="D155" s="16">
        <f t="shared" si="4"/>
        <v>2</v>
      </c>
      <c r="J155" s="16" t="b">
        <f t="shared" si="5"/>
        <v>0</v>
      </c>
    </row>
    <row r="156" spans="1:10">
      <c r="A156" s="6" t="s">
        <v>307</v>
      </c>
      <c r="B156">
        <v>3</v>
      </c>
      <c r="C156">
        <v>7</v>
      </c>
      <c r="D156" s="16">
        <f t="shared" si="4"/>
        <v>5</v>
      </c>
      <c r="J156" s="16" t="b">
        <f t="shared" si="5"/>
        <v>0</v>
      </c>
    </row>
    <row r="157" spans="1:10">
      <c r="A157" s="6" t="s">
        <v>308</v>
      </c>
      <c r="B157">
        <v>0</v>
      </c>
      <c r="C157">
        <v>1</v>
      </c>
      <c r="D157" s="16">
        <f t="shared" si="4"/>
        <v>0.5</v>
      </c>
      <c r="J157" s="16" t="b">
        <f t="shared" si="5"/>
        <v>0</v>
      </c>
    </row>
    <row r="158" spans="1:10">
      <c r="A158" s="6" t="s">
        <v>309</v>
      </c>
      <c r="B158">
        <v>0</v>
      </c>
      <c r="C158">
        <v>8</v>
      </c>
      <c r="D158" s="16">
        <f t="shared" si="4"/>
        <v>4</v>
      </c>
      <c r="J158" s="16" t="b">
        <f t="shared" si="5"/>
        <v>0</v>
      </c>
    </row>
    <row r="159" spans="1:10">
      <c r="A159" s="6" t="s">
        <v>310</v>
      </c>
      <c r="B159">
        <v>0</v>
      </c>
      <c r="C159">
        <v>4</v>
      </c>
      <c r="D159" s="16">
        <f t="shared" si="4"/>
        <v>2</v>
      </c>
      <c r="J159" s="16" t="b">
        <f t="shared" si="5"/>
        <v>0</v>
      </c>
    </row>
    <row r="160" spans="1:10">
      <c r="A160" s="6" t="s">
        <v>311</v>
      </c>
      <c r="B160">
        <v>0</v>
      </c>
      <c r="C160">
        <v>0</v>
      </c>
      <c r="D160" s="16">
        <f t="shared" si="4"/>
        <v>0</v>
      </c>
      <c r="J160" s="16" t="b">
        <f t="shared" si="5"/>
        <v>0</v>
      </c>
    </row>
    <row r="161" spans="1:10">
      <c r="A161" s="6" t="s">
        <v>312</v>
      </c>
      <c r="B161">
        <v>0</v>
      </c>
      <c r="C161">
        <v>2</v>
      </c>
      <c r="D161" s="16">
        <f t="shared" si="4"/>
        <v>1</v>
      </c>
      <c r="J161" s="16" t="b">
        <f t="shared" si="5"/>
        <v>0</v>
      </c>
    </row>
    <row r="162" spans="1:10">
      <c r="A162" s="6" t="s">
        <v>313</v>
      </c>
      <c r="B162">
        <v>0</v>
      </c>
      <c r="C162">
        <v>0</v>
      </c>
      <c r="D162" s="16">
        <f t="shared" si="4"/>
        <v>0</v>
      </c>
      <c r="J162" s="16" t="b">
        <f t="shared" si="5"/>
        <v>0</v>
      </c>
    </row>
    <row r="163" spans="1:10">
      <c r="A163" s="6" t="s">
        <v>314</v>
      </c>
      <c r="B163">
        <v>0</v>
      </c>
      <c r="C163">
        <v>3</v>
      </c>
      <c r="D163" s="16">
        <f t="shared" si="4"/>
        <v>1.5</v>
      </c>
      <c r="J163" s="16" t="b">
        <f t="shared" si="5"/>
        <v>0</v>
      </c>
    </row>
    <row r="164" spans="1:10">
      <c r="A164" s="6" t="s">
        <v>315</v>
      </c>
      <c r="B164">
        <v>22</v>
      </c>
      <c r="C164">
        <v>39</v>
      </c>
      <c r="D164" s="16">
        <f t="shared" si="4"/>
        <v>30.5</v>
      </c>
      <c r="J164" s="16" t="b">
        <f t="shared" si="5"/>
        <v>1</v>
      </c>
    </row>
    <row r="165" spans="1:10">
      <c r="A165" s="6" t="s">
        <v>316</v>
      </c>
      <c r="B165">
        <v>43</v>
      </c>
      <c r="C165">
        <v>97</v>
      </c>
      <c r="D165" s="16">
        <f t="shared" si="4"/>
        <v>70</v>
      </c>
      <c r="J165" s="16" t="b">
        <f t="shared" si="5"/>
        <v>1</v>
      </c>
    </row>
    <row r="166" spans="1:10">
      <c r="A166" s="6" t="s">
        <v>317</v>
      </c>
      <c r="B166">
        <v>0</v>
      </c>
      <c r="C166">
        <v>0</v>
      </c>
      <c r="D166" s="16">
        <f t="shared" si="4"/>
        <v>0</v>
      </c>
      <c r="J166" s="16" t="b">
        <f t="shared" si="5"/>
        <v>0</v>
      </c>
    </row>
    <row r="167" spans="1:10">
      <c r="A167" s="6" t="s">
        <v>318</v>
      </c>
      <c r="B167">
        <v>14</v>
      </c>
      <c r="C167">
        <v>1</v>
      </c>
      <c r="D167" s="16">
        <f t="shared" si="4"/>
        <v>7.5</v>
      </c>
      <c r="J167" s="16" t="b">
        <f t="shared" si="5"/>
        <v>0</v>
      </c>
    </row>
    <row r="168" spans="1:10">
      <c r="A168" s="6" t="s">
        <v>319</v>
      </c>
      <c r="B168">
        <v>82</v>
      </c>
      <c r="C168">
        <v>105</v>
      </c>
      <c r="D168" s="16">
        <f t="shared" si="4"/>
        <v>93.5</v>
      </c>
      <c r="J168" s="16" t="b">
        <f t="shared" si="5"/>
        <v>1</v>
      </c>
    </row>
    <row r="169" spans="1:10">
      <c r="A169" s="6" t="s">
        <v>320</v>
      </c>
      <c r="B169">
        <v>0</v>
      </c>
      <c r="C169">
        <v>0</v>
      </c>
      <c r="D169" s="16">
        <f t="shared" si="4"/>
        <v>0</v>
      </c>
      <c r="J169" s="16" t="b">
        <f t="shared" si="5"/>
        <v>0</v>
      </c>
    </row>
    <row r="170" spans="1:10">
      <c r="A170" s="6" t="s">
        <v>322</v>
      </c>
      <c r="B170">
        <v>0</v>
      </c>
      <c r="C170">
        <v>0</v>
      </c>
      <c r="D170" s="16">
        <f t="shared" si="4"/>
        <v>0</v>
      </c>
      <c r="J170" s="16" t="b">
        <f t="shared" si="5"/>
        <v>0</v>
      </c>
    </row>
    <row r="171" spans="1:10">
      <c r="A171" s="6" t="s">
        <v>323</v>
      </c>
      <c r="B171">
        <v>0</v>
      </c>
      <c r="C171">
        <v>3</v>
      </c>
      <c r="D171" s="16">
        <f t="shared" si="4"/>
        <v>1.5</v>
      </c>
      <c r="J171" s="16" t="b">
        <f t="shared" si="5"/>
        <v>0</v>
      </c>
    </row>
    <row r="172" spans="1:10">
      <c r="A172" s="6" t="s">
        <v>325</v>
      </c>
      <c r="B172">
        <v>0</v>
      </c>
      <c r="C172">
        <v>2</v>
      </c>
      <c r="D172" s="16">
        <f t="shared" si="4"/>
        <v>1</v>
      </c>
      <c r="J172" s="16" t="b">
        <f t="shared" si="5"/>
        <v>0</v>
      </c>
    </row>
    <row r="173" spans="1:10">
      <c r="A173" s="6" t="s">
        <v>328</v>
      </c>
      <c r="B173">
        <v>0</v>
      </c>
      <c r="C173">
        <v>2</v>
      </c>
      <c r="D173" s="16">
        <f t="shared" si="4"/>
        <v>1</v>
      </c>
      <c r="J173" s="16" t="b">
        <f t="shared" si="5"/>
        <v>0</v>
      </c>
    </row>
    <row r="174" spans="1:10">
      <c r="A174" s="6" t="s">
        <v>329</v>
      </c>
      <c r="B174">
        <v>0</v>
      </c>
      <c r="C174">
        <v>4</v>
      </c>
      <c r="D174" s="16">
        <f t="shared" si="4"/>
        <v>2</v>
      </c>
      <c r="J174" s="16" t="b">
        <f t="shared" si="5"/>
        <v>0</v>
      </c>
    </row>
    <row r="175" spans="1:10">
      <c r="A175" s="6" t="s">
        <v>331</v>
      </c>
      <c r="B175">
        <v>0</v>
      </c>
      <c r="C175">
        <v>0</v>
      </c>
      <c r="D175" s="16">
        <f t="shared" si="4"/>
        <v>0</v>
      </c>
      <c r="J175" s="16" t="b">
        <f t="shared" si="5"/>
        <v>0</v>
      </c>
    </row>
    <row r="176" spans="1:10">
      <c r="A176" s="6" t="s">
        <v>334</v>
      </c>
      <c r="B176">
        <v>15</v>
      </c>
      <c r="C176">
        <v>2</v>
      </c>
      <c r="D176" s="16">
        <f t="shared" si="4"/>
        <v>8.5</v>
      </c>
      <c r="J176" s="16" t="b">
        <f t="shared" si="5"/>
        <v>0</v>
      </c>
    </row>
    <row r="177" spans="1:10">
      <c r="A177" s="6" t="s">
        <v>335</v>
      </c>
      <c r="B177">
        <v>6</v>
      </c>
      <c r="C177">
        <v>0</v>
      </c>
      <c r="D177" s="16">
        <f t="shared" si="4"/>
        <v>3</v>
      </c>
      <c r="J177" s="16" t="b">
        <f t="shared" si="5"/>
        <v>0</v>
      </c>
    </row>
    <row r="178" spans="1:10">
      <c r="A178" s="6" t="s">
        <v>336</v>
      </c>
      <c r="B178">
        <v>0</v>
      </c>
      <c r="C178">
        <v>4</v>
      </c>
      <c r="D178" s="16">
        <f t="shared" si="4"/>
        <v>2</v>
      </c>
      <c r="J178" s="16" t="b">
        <f t="shared" si="5"/>
        <v>0</v>
      </c>
    </row>
    <row r="179" spans="1:10">
      <c r="A179" s="6" t="s">
        <v>338</v>
      </c>
      <c r="B179">
        <v>0</v>
      </c>
      <c r="C179">
        <v>21</v>
      </c>
      <c r="D179" s="16">
        <f t="shared" si="4"/>
        <v>10.5</v>
      </c>
      <c r="J179" s="16" t="b">
        <f t="shared" si="5"/>
        <v>0</v>
      </c>
    </row>
    <row r="180" spans="1:10">
      <c r="A180" s="6" t="s">
        <v>341</v>
      </c>
      <c r="B180">
        <v>0</v>
      </c>
      <c r="C180">
        <v>0</v>
      </c>
      <c r="D180" s="16">
        <f t="shared" si="4"/>
        <v>0</v>
      </c>
      <c r="J180" s="16" t="b">
        <f t="shared" si="5"/>
        <v>0</v>
      </c>
    </row>
    <row r="181" spans="1:10">
      <c r="A181" s="6" t="s">
        <v>343</v>
      </c>
      <c r="B181">
        <v>10</v>
      </c>
      <c r="C181">
        <v>64</v>
      </c>
      <c r="D181" s="16">
        <f t="shared" si="4"/>
        <v>37</v>
      </c>
      <c r="J181" s="16" t="b">
        <f t="shared" si="5"/>
        <v>1</v>
      </c>
    </row>
    <row r="182" spans="1:10">
      <c r="A182" s="6" t="s">
        <v>348</v>
      </c>
      <c r="B182">
        <v>0</v>
      </c>
      <c r="C182">
        <v>0</v>
      </c>
      <c r="D182" s="16">
        <f t="shared" si="4"/>
        <v>0</v>
      </c>
      <c r="J182" s="16" t="b">
        <f t="shared" si="5"/>
        <v>0</v>
      </c>
    </row>
    <row r="183" spans="1:10">
      <c r="A183" s="6" t="s">
        <v>350</v>
      </c>
      <c r="B183">
        <v>0</v>
      </c>
      <c r="C183">
        <v>15</v>
      </c>
      <c r="D183" s="16">
        <f t="shared" si="4"/>
        <v>7.5</v>
      </c>
      <c r="J183" s="16" t="b">
        <f t="shared" si="5"/>
        <v>0</v>
      </c>
    </row>
    <row r="184" spans="1:10">
      <c r="A184" s="6" t="s">
        <v>355</v>
      </c>
      <c r="B184">
        <v>0</v>
      </c>
      <c r="C184">
        <v>15</v>
      </c>
      <c r="D184" s="16">
        <f t="shared" si="4"/>
        <v>7.5</v>
      </c>
      <c r="J184" s="16" t="b">
        <f t="shared" si="5"/>
        <v>0</v>
      </c>
    </row>
    <row r="185" spans="1:10">
      <c r="A185" s="6" t="s">
        <v>358</v>
      </c>
      <c r="B185">
        <v>0</v>
      </c>
      <c r="C185">
        <v>2</v>
      </c>
      <c r="D185" s="16">
        <f t="shared" si="4"/>
        <v>1</v>
      </c>
      <c r="J185" s="16" t="b">
        <f t="shared" si="5"/>
        <v>0</v>
      </c>
    </row>
    <row r="186" spans="1:10">
      <c r="A186" s="6" t="s">
        <v>360</v>
      </c>
      <c r="B186">
        <v>0</v>
      </c>
      <c r="C186">
        <v>0</v>
      </c>
      <c r="D186" s="16">
        <f t="shared" si="4"/>
        <v>0</v>
      </c>
      <c r="J186" s="16" t="b">
        <f t="shared" si="5"/>
        <v>0</v>
      </c>
    </row>
    <row r="187" spans="1:10">
      <c r="A187" s="6" t="s">
        <v>364</v>
      </c>
      <c r="B187">
        <v>0</v>
      </c>
      <c r="C187">
        <v>0</v>
      </c>
      <c r="D187" s="16">
        <f t="shared" si="4"/>
        <v>0</v>
      </c>
      <c r="J187" s="16" t="b">
        <f t="shared" si="5"/>
        <v>0</v>
      </c>
    </row>
    <row r="188" spans="1:10">
      <c r="A188" s="6" t="s">
        <v>366</v>
      </c>
      <c r="B188">
        <v>1</v>
      </c>
      <c r="C188">
        <v>2</v>
      </c>
      <c r="D188" s="16">
        <f t="shared" si="4"/>
        <v>1.5</v>
      </c>
      <c r="J188" s="16" t="b">
        <f t="shared" si="5"/>
        <v>0</v>
      </c>
    </row>
    <row r="189" spans="1:10">
      <c r="A189" s="6" t="s">
        <v>373</v>
      </c>
      <c r="B189">
        <v>0</v>
      </c>
      <c r="C189">
        <v>10</v>
      </c>
      <c r="D189" s="16">
        <f t="shared" si="4"/>
        <v>5</v>
      </c>
      <c r="J189" s="16" t="b">
        <f t="shared" si="5"/>
        <v>0</v>
      </c>
    </row>
    <row r="190" spans="1:10">
      <c r="A190" s="6" t="s">
        <v>374</v>
      </c>
      <c r="B190">
        <v>0</v>
      </c>
      <c r="C190">
        <v>0</v>
      </c>
      <c r="D190" s="16">
        <f t="shared" si="4"/>
        <v>0</v>
      </c>
      <c r="J190" s="16" t="b">
        <f t="shared" si="5"/>
        <v>0</v>
      </c>
    </row>
    <row r="191" spans="1:10">
      <c r="A191" s="6" t="s">
        <v>376</v>
      </c>
      <c r="B191">
        <v>12</v>
      </c>
      <c r="C191">
        <v>0</v>
      </c>
      <c r="D191" s="16">
        <f t="shared" si="4"/>
        <v>6</v>
      </c>
      <c r="J191" s="16" t="b">
        <f t="shared" si="5"/>
        <v>0</v>
      </c>
    </row>
    <row r="192" spans="1:10">
      <c r="A192" s="6" t="s">
        <v>378</v>
      </c>
      <c r="B192">
        <v>0</v>
      </c>
      <c r="C192">
        <v>0</v>
      </c>
      <c r="D192" s="16">
        <f t="shared" si="4"/>
        <v>0</v>
      </c>
      <c r="J192" s="16" t="b">
        <f t="shared" si="5"/>
        <v>0</v>
      </c>
    </row>
    <row r="193" spans="1:10">
      <c r="A193" s="6" t="s">
        <v>380</v>
      </c>
      <c r="B193">
        <v>0</v>
      </c>
      <c r="C193">
        <v>0</v>
      </c>
      <c r="D193" s="16">
        <f t="shared" si="4"/>
        <v>0</v>
      </c>
      <c r="J193" s="16" t="b">
        <f t="shared" si="5"/>
        <v>0</v>
      </c>
    </row>
    <row r="194" spans="1:10">
      <c r="A194" s="6" t="s">
        <v>381</v>
      </c>
      <c r="B194">
        <v>0</v>
      </c>
      <c r="C194">
        <v>0</v>
      </c>
      <c r="D194" s="16">
        <f t="shared" si="4"/>
        <v>0</v>
      </c>
      <c r="J194" s="16" t="b">
        <f t="shared" si="5"/>
        <v>0</v>
      </c>
    </row>
    <row r="195" spans="1:10">
      <c r="A195" s="6" t="s">
        <v>383</v>
      </c>
      <c r="B195">
        <v>0</v>
      </c>
      <c r="C195">
        <v>2</v>
      </c>
      <c r="D195" s="16">
        <f t="shared" ref="D195:D226" si="6">AVERAGE(B195:C195)</f>
        <v>1</v>
      </c>
      <c r="J195" s="16" t="b">
        <f t="shared" ref="J195:J226" si="7">OR(D195&gt;$H$2,D195&lt;$I$2)</f>
        <v>0</v>
      </c>
    </row>
    <row r="196" spans="1:10">
      <c r="A196" s="6" t="s">
        <v>384</v>
      </c>
      <c r="B196">
        <v>0</v>
      </c>
      <c r="C196">
        <v>0</v>
      </c>
      <c r="D196" s="16">
        <f t="shared" si="6"/>
        <v>0</v>
      </c>
      <c r="J196" s="16" t="b">
        <f t="shared" si="7"/>
        <v>0</v>
      </c>
    </row>
    <row r="197" spans="1:10">
      <c r="A197" s="6" t="s">
        <v>385</v>
      </c>
      <c r="B197">
        <v>0</v>
      </c>
      <c r="C197">
        <v>8</v>
      </c>
      <c r="D197" s="16">
        <f t="shared" si="6"/>
        <v>4</v>
      </c>
      <c r="J197" s="16" t="b">
        <f t="shared" si="7"/>
        <v>0</v>
      </c>
    </row>
    <row r="198" spans="1:10">
      <c r="A198" s="6" t="s">
        <v>387</v>
      </c>
      <c r="B198">
        <v>0</v>
      </c>
      <c r="C198">
        <v>12</v>
      </c>
      <c r="D198" s="16">
        <f t="shared" si="6"/>
        <v>6</v>
      </c>
      <c r="J198" s="16" t="b">
        <f t="shared" si="7"/>
        <v>0</v>
      </c>
    </row>
    <row r="199" spans="1:10">
      <c r="A199" s="6" t="s">
        <v>389</v>
      </c>
      <c r="B199">
        <v>0</v>
      </c>
      <c r="C199">
        <v>4</v>
      </c>
      <c r="D199" s="16">
        <f t="shared" si="6"/>
        <v>2</v>
      </c>
      <c r="J199" s="16" t="b">
        <f t="shared" si="7"/>
        <v>0</v>
      </c>
    </row>
    <row r="200" spans="1:10">
      <c r="A200" s="6" t="s">
        <v>391</v>
      </c>
      <c r="B200">
        <v>0</v>
      </c>
      <c r="C200">
        <v>0</v>
      </c>
      <c r="D200" s="16">
        <f t="shared" si="6"/>
        <v>0</v>
      </c>
      <c r="J200" s="16" t="b">
        <f t="shared" si="7"/>
        <v>0</v>
      </c>
    </row>
    <row r="201" spans="1:10">
      <c r="A201" s="6" t="s">
        <v>393</v>
      </c>
      <c r="B201">
        <v>0</v>
      </c>
      <c r="C201">
        <v>0</v>
      </c>
      <c r="D201" s="16">
        <f t="shared" si="6"/>
        <v>0</v>
      </c>
      <c r="J201" s="16" t="b">
        <f t="shared" si="7"/>
        <v>0</v>
      </c>
    </row>
    <row r="202" spans="1:10">
      <c r="A202" s="6" t="s">
        <v>395</v>
      </c>
      <c r="B202">
        <v>2</v>
      </c>
      <c r="C202">
        <v>1</v>
      </c>
      <c r="D202" s="16">
        <f t="shared" si="6"/>
        <v>1.5</v>
      </c>
      <c r="J202" s="16" t="b">
        <f t="shared" si="7"/>
        <v>0</v>
      </c>
    </row>
    <row r="203" spans="1:10">
      <c r="A203" s="6" t="s">
        <v>398</v>
      </c>
      <c r="B203">
        <v>1</v>
      </c>
      <c r="C203">
        <v>1</v>
      </c>
      <c r="D203" s="16">
        <f t="shared" si="6"/>
        <v>1</v>
      </c>
      <c r="J203" s="16" t="b">
        <f t="shared" si="7"/>
        <v>0</v>
      </c>
    </row>
    <row r="204" spans="1:10">
      <c r="A204" s="6" t="s">
        <v>400</v>
      </c>
      <c r="B204">
        <v>4</v>
      </c>
      <c r="C204">
        <v>9</v>
      </c>
      <c r="D204" s="16">
        <f t="shared" si="6"/>
        <v>6.5</v>
      </c>
      <c r="J204" s="16" t="b">
        <f t="shared" si="7"/>
        <v>0</v>
      </c>
    </row>
    <row r="205" spans="1:10">
      <c r="A205" s="6" t="s">
        <v>402</v>
      </c>
      <c r="B205">
        <v>17</v>
      </c>
      <c r="C205">
        <v>11</v>
      </c>
      <c r="D205" s="16">
        <f t="shared" si="6"/>
        <v>14</v>
      </c>
      <c r="J205" s="16" t="b">
        <f t="shared" si="7"/>
        <v>0</v>
      </c>
    </row>
    <row r="206" spans="1:10">
      <c r="A206" s="6" t="s">
        <v>403</v>
      </c>
      <c r="B206">
        <v>0</v>
      </c>
      <c r="C206">
        <v>0</v>
      </c>
      <c r="D206" s="16">
        <f t="shared" si="6"/>
        <v>0</v>
      </c>
      <c r="J206" s="16" t="b">
        <f t="shared" si="7"/>
        <v>0</v>
      </c>
    </row>
    <row r="207" spans="1:10">
      <c r="A207" s="6" t="s">
        <v>405</v>
      </c>
      <c r="B207">
        <v>7</v>
      </c>
      <c r="C207">
        <v>33</v>
      </c>
      <c r="D207" s="16">
        <f t="shared" si="6"/>
        <v>20</v>
      </c>
      <c r="J207" s="16" t="b">
        <f t="shared" si="7"/>
        <v>1</v>
      </c>
    </row>
    <row r="208" spans="1:10">
      <c r="A208" s="6" t="s">
        <v>409</v>
      </c>
      <c r="B208">
        <v>0</v>
      </c>
      <c r="C208">
        <v>8</v>
      </c>
      <c r="D208" s="16">
        <f t="shared" si="6"/>
        <v>4</v>
      </c>
      <c r="J208" s="16" t="b">
        <f t="shared" si="7"/>
        <v>0</v>
      </c>
    </row>
    <row r="209" spans="1:10">
      <c r="A209" s="6" t="s">
        <v>411</v>
      </c>
      <c r="B209">
        <v>29</v>
      </c>
      <c r="C209">
        <v>72</v>
      </c>
      <c r="D209" s="16">
        <f t="shared" si="6"/>
        <v>50.5</v>
      </c>
      <c r="J209" s="16" t="b">
        <f t="shared" si="7"/>
        <v>1</v>
      </c>
    </row>
    <row r="210" spans="1:10">
      <c r="A210" s="6" t="s">
        <v>415</v>
      </c>
      <c r="B210">
        <v>0</v>
      </c>
      <c r="C210">
        <v>0</v>
      </c>
      <c r="D210" s="16">
        <f t="shared" si="6"/>
        <v>0</v>
      </c>
      <c r="J210" s="16" t="b">
        <f t="shared" si="7"/>
        <v>0</v>
      </c>
    </row>
    <row r="211" spans="1:10">
      <c r="A211" s="6" t="s">
        <v>417</v>
      </c>
      <c r="B211">
        <v>0</v>
      </c>
      <c r="C211">
        <v>11</v>
      </c>
      <c r="D211" s="16">
        <f t="shared" si="6"/>
        <v>5.5</v>
      </c>
      <c r="J211" s="16" t="b">
        <f t="shared" si="7"/>
        <v>0</v>
      </c>
    </row>
    <row r="212" spans="1:10">
      <c r="A212" s="6" t="s">
        <v>419</v>
      </c>
      <c r="B212">
        <v>0</v>
      </c>
      <c r="C212">
        <v>8</v>
      </c>
      <c r="D212" s="16">
        <f t="shared" si="6"/>
        <v>4</v>
      </c>
      <c r="J212" s="16" t="b">
        <f t="shared" si="7"/>
        <v>0</v>
      </c>
    </row>
    <row r="213" spans="1:10">
      <c r="A213" s="6" t="s">
        <v>422</v>
      </c>
      <c r="B213">
        <v>0</v>
      </c>
      <c r="C213">
        <v>33</v>
      </c>
      <c r="D213" s="16">
        <f t="shared" si="6"/>
        <v>16.5</v>
      </c>
      <c r="J213" s="16" t="b">
        <f t="shared" si="7"/>
        <v>1</v>
      </c>
    </row>
    <row r="214" spans="1:10">
      <c r="A214" s="6" t="s">
        <v>425</v>
      </c>
      <c r="B214">
        <v>4</v>
      </c>
      <c r="C214">
        <v>24</v>
      </c>
      <c r="D214" s="16">
        <f t="shared" si="6"/>
        <v>14</v>
      </c>
      <c r="J214" s="16" t="b">
        <f t="shared" si="7"/>
        <v>0</v>
      </c>
    </row>
    <row r="215" spans="1:10">
      <c r="A215" s="6" t="s">
        <v>427</v>
      </c>
      <c r="B215">
        <v>0</v>
      </c>
      <c r="C215">
        <v>1</v>
      </c>
      <c r="D215" s="16">
        <f t="shared" si="6"/>
        <v>0.5</v>
      </c>
      <c r="J215" s="16" t="b">
        <f t="shared" si="7"/>
        <v>0</v>
      </c>
    </row>
    <row r="216" spans="1:10">
      <c r="A216" s="6" t="s">
        <v>428</v>
      </c>
      <c r="B216">
        <v>0</v>
      </c>
      <c r="C216">
        <v>10</v>
      </c>
      <c r="D216" s="16">
        <f t="shared" si="6"/>
        <v>5</v>
      </c>
      <c r="J216" s="16" t="b">
        <f t="shared" si="7"/>
        <v>0</v>
      </c>
    </row>
    <row r="217" spans="1:10">
      <c r="A217" s="6" t="s">
        <v>432</v>
      </c>
      <c r="B217">
        <v>1</v>
      </c>
      <c r="C217">
        <v>5</v>
      </c>
      <c r="D217" s="16">
        <f t="shared" si="6"/>
        <v>3</v>
      </c>
      <c r="J217" s="16" t="b">
        <f t="shared" si="7"/>
        <v>0</v>
      </c>
    </row>
    <row r="218" spans="1:10">
      <c r="A218" s="6" t="s">
        <v>433</v>
      </c>
      <c r="B218">
        <v>0</v>
      </c>
      <c r="C218">
        <v>22</v>
      </c>
      <c r="D218" s="16">
        <f t="shared" si="6"/>
        <v>11</v>
      </c>
      <c r="J218" s="16" t="b">
        <f t="shared" si="7"/>
        <v>0</v>
      </c>
    </row>
    <row r="219" spans="1:10">
      <c r="A219" s="6" t="s">
        <v>434</v>
      </c>
      <c r="B219">
        <v>0</v>
      </c>
      <c r="C219">
        <v>1</v>
      </c>
      <c r="D219" s="16">
        <f t="shared" si="6"/>
        <v>0.5</v>
      </c>
      <c r="J219" s="16" t="b">
        <f t="shared" si="7"/>
        <v>0</v>
      </c>
    </row>
    <row r="220" spans="1:10">
      <c r="A220" s="6" t="s">
        <v>436</v>
      </c>
      <c r="B220">
        <v>3</v>
      </c>
      <c r="C220">
        <v>24</v>
      </c>
      <c r="D220" s="16">
        <f t="shared" si="6"/>
        <v>13.5</v>
      </c>
      <c r="J220" s="16" t="b">
        <f t="shared" si="7"/>
        <v>0</v>
      </c>
    </row>
    <row r="221" spans="1:10">
      <c r="A221" s="6" t="s">
        <v>437</v>
      </c>
      <c r="B221">
        <v>0</v>
      </c>
      <c r="C221">
        <v>3</v>
      </c>
      <c r="D221" s="16">
        <f t="shared" si="6"/>
        <v>1.5</v>
      </c>
      <c r="J221" s="16" t="b">
        <f t="shared" si="7"/>
        <v>0</v>
      </c>
    </row>
    <row r="222" spans="1:10">
      <c r="A222" s="6" t="s">
        <v>438</v>
      </c>
      <c r="B222">
        <v>0</v>
      </c>
      <c r="C222">
        <v>8</v>
      </c>
      <c r="D222" s="16">
        <f t="shared" si="6"/>
        <v>4</v>
      </c>
      <c r="J222" s="16" t="b">
        <f t="shared" si="7"/>
        <v>0</v>
      </c>
    </row>
    <row r="223" spans="1:10">
      <c r="A223" s="6" t="s">
        <v>439</v>
      </c>
      <c r="B223">
        <v>0</v>
      </c>
      <c r="C223">
        <v>0</v>
      </c>
      <c r="D223" s="16">
        <f t="shared" si="6"/>
        <v>0</v>
      </c>
      <c r="J223" s="16" t="b">
        <f t="shared" si="7"/>
        <v>0</v>
      </c>
    </row>
    <row r="224" spans="1:10">
      <c r="A224" s="6" t="s">
        <v>440</v>
      </c>
      <c r="B224">
        <v>0</v>
      </c>
      <c r="C224">
        <v>4</v>
      </c>
      <c r="D224" s="16">
        <f t="shared" si="6"/>
        <v>2</v>
      </c>
      <c r="J224" s="16" t="b">
        <f t="shared" si="7"/>
        <v>0</v>
      </c>
    </row>
    <row r="225" spans="1:10">
      <c r="A225" s="6" t="s">
        <v>441</v>
      </c>
      <c r="B225">
        <v>0</v>
      </c>
      <c r="C225">
        <v>0</v>
      </c>
      <c r="D225" s="16">
        <f t="shared" si="6"/>
        <v>0</v>
      </c>
      <c r="J225" s="16" t="b">
        <f t="shared" si="7"/>
        <v>0</v>
      </c>
    </row>
    <row r="226" spans="1:10">
      <c r="A226" s="6" t="s">
        <v>443</v>
      </c>
      <c r="B226">
        <v>0</v>
      </c>
      <c r="C226">
        <v>370</v>
      </c>
      <c r="D226" s="16">
        <f t="shared" si="6"/>
        <v>185</v>
      </c>
      <c r="J226" s="16" t="b">
        <f t="shared" si="7"/>
        <v>1</v>
      </c>
    </row>
    <row r="228" spans="1:10">
      <c r="C228">
        <f>SUBTOTAL(3,C5:C226)</f>
        <v>222</v>
      </c>
    </row>
  </sheetData>
  <autoFilter ref="A1:J226" xr:uid="{79E1BF49-85E5-4F2A-B147-E5973F72F002}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8E0C9-770A-4318-8848-C9E3EFA1AD15}">
  <sheetPr codeName="Sheet12"/>
  <dimension ref="A1:L226"/>
  <sheetViews>
    <sheetView zoomScale="59" zoomScaleNormal="130" workbookViewId="0">
      <selection activeCell="H21" sqref="H21"/>
    </sheetView>
  </sheetViews>
  <sheetFormatPr defaultRowHeight="12.3"/>
  <cols>
    <col min="1" max="1" width="54.44140625" style="16" bestFit="1" customWidth="1"/>
    <col min="2" max="2" width="22.5546875" bestFit="1" customWidth="1"/>
    <col min="3" max="3" width="29.44140625" bestFit="1" customWidth="1"/>
    <col min="4" max="4" width="33.1640625" bestFit="1" customWidth="1"/>
    <col min="5" max="5" width="21.44140625" bestFit="1" customWidth="1"/>
    <col min="6" max="6" width="26.71875" bestFit="1" customWidth="1"/>
    <col min="9" max="9" width="25.5546875" bestFit="1" customWidth="1"/>
    <col min="10" max="10" width="30.27734375" bestFit="1" customWidth="1"/>
  </cols>
  <sheetData>
    <row r="1" spans="1:12">
      <c r="A1" s="28" t="s">
        <v>0</v>
      </c>
      <c r="B1" s="32" t="s">
        <v>520</v>
      </c>
      <c r="C1" s="32" t="s">
        <v>550</v>
      </c>
      <c r="D1" s="32" t="s">
        <v>551</v>
      </c>
      <c r="E1" s="44" t="s">
        <v>552</v>
      </c>
      <c r="F1" s="44" t="s">
        <v>553</v>
      </c>
      <c r="I1" s="45" t="s">
        <v>486</v>
      </c>
      <c r="J1" s="45" t="s">
        <v>487</v>
      </c>
    </row>
    <row r="2" spans="1:12">
      <c r="A2" s="6" t="s">
        <v>1</v>
      </c>
      <c r="B2">
        <v>14</v>
      </c>
      <c r="C2">
        <v>0</v>
      </c>
      <c r="D2">
        <v>1</v>
      </c>
      <c r="E2" s="11">
        <f>(C2+D2)/B2</f>
        <v>7.1428571428571425E-2</v>
      </c>
      <c r="F2" s="13">
        <f>100%-E2</f>
        <v>0.9285714285714286</v>
      </c>
      <c r="I2" s="46">
        <f>AVERAGE(E2:E226)</f>
        <v>0.19513899195854784</v>
      </c>
      <c r="J2" s="46">
        <f>AVERAGE(F2:F226)</f>
        <v>0.80486100804145222</v>
      </c>
    </row>
    <row r="3" spans="1:12">
      <c r="A3" s="6" t="s">
        <v>3</v>
      </c>
      <c r="B3">
        <v>20</v>
      </c>
      <c r="C3">
        <v>0</v>
      </c>
      <c r="D3">
        <v>0</v>
      </c>
      <c r="E3" s="11">
        <f t="shared" ref="E3:E66" si="0">(C3+D3)/B3</f>
        <v>0</v>
      </c>
      <c r="F3" s="13">
        <f t="shared" ref="F3:F66" si="1">100%-E3</f>
        <v>1</v>
      </c>
      <c r="L3" s="13"/>
    </row>
    <row r="4" spans="1:12">
      <c r="A4" s="6" t="s">
        <v>5</v>
      </c>
      <c r="B4">
        <v>26</v>
      </c>
      <c r="C4">
        <v>0</v>
      </c>
      <c r="D4">
        <v>0</v>
      </c>
      <c r="E4" s="11">
        <f t="shared" si="0"/>
        <v>0</v>
      </c>
      <c r="F4" s="13">
        <f t="shared" si="1"/>
        <v>1</v>
      </c>
    </row>
    <row r="5" spans="1:12">
      <c r="A5" s="6" t="s">
        <v>7</v>
      </c>
      <c r="B5">
        <v>116</v>
      </c>
      <c r="C5">
        <v>4</v>
      </c>
      <c r="D5">
        <v>22</v>
      </c>
      <c r="E5" s="11">
        <f t="shared" si="0"/>
        <v>0.22413793103448276</v>
      </c>
      <c r="F5" s="13">
        <f t="shared" si="1"/>
        <v>0.77586206896551724</v>
      </c>
    </row>
    <row r="6" spans="1:12">
      <c r="A6" s="6" t="s">
        <v>10</v>
      </c>
      <c r="B6">
        <v>4</v>
      </c>
      <c r="C6">
        <v>0</v>
      </c>
      <c r="D6">
        <v>0</v>
      </c>
      <c r="E6" s="11">
        <f t="shared" si="0"/>
        <v>0</v>
      </c>
      <c r="F6" s="13">
        <f t="shared" si="1"/>
        <v>1</v>
      </c>
    </row>
    <row r="7" spans="1:12">
      <c r="A7" s="6" t="s">
        <v>11</v>
      </c>
      <c r="B7">
        <v>8</v>
      </c>
      <c r="C7">
        <v>0</v>
      </c>
      <c r="D7">
        <v>0</v>
      </c>
      <c r="E7" s="11">
        <f t="shared" si="0"/>
        <v>0</v>
      </c>
      <c r="F7" s="13">
        <f t="shared" si="1"/>
        <v>1</v>
      </c>
    </row>
    <row r="8" spans="1:12">
      <c r="A8" s="6" t="s">
        <v>12</v>
      </c>
      <c r="B8">
        <v>9</v>
      </c>
      <c r="C8">
        <v>1</v>
      </c>
      <c r="D8">
        <v>2</v>
      </c>
      <c r="E8" s="11">
        <f t="shared" si="0"/>
        <v>0.33333333333333331</v>
      </c>
      <c r="F8" s="13">
        <f t="shared" si="1"/>
        <v>0.66666666666666674</v>
      </c>
    </row>
    <row r="9" spans="1:12">
      <c r="A9" s="6" t="s">
        <v>13</v>
      </c>
      <c r="B9">
        <v>12</v>
      </c>
      <c r="C9">
        <v>0</v>
      </c>
      <c r="D9">
        <v>3</v>
      </c>
      <c r="E9" s="11">
        <f t="shared" si="0"/>
        <v>0.25</v>
      </c>
      <c r="F9" s="13">
        <f t="shared" si="1"/>
        <v>0.75</v>
      </c>
    </row>
    <row r="10" spans="1:12">
      <c r="A10" s="6" t="s">
        <v>14</v>
      </c>
      <c r="B10">
        <v>8</v>
      </c>
      <c r="C10">
        <v>0</v>
      </c>
      <c r="D10">
        <v>0</v>
      </c>
      <c r="E10" s="11">
        <f t="shared" si="0"/>
        <v>0</v>
      </c>
      <c r="F10" s="13">
        <f t="shared" si="1"/>
        <v>1</v>
      </c>
    </row>
    <row r="11" spans="1:12">
      <c r="A11" s="6" t="s">
        <v>15</v>
      </c>
      <c r="B11">
        <v>16</v>
      </c>
      <c r="C11">
        <v>0</v>
      </c>
      <c r="D11">
        <v>3</v>
      </c>
      <c r="E11" s="11">
        <f t="shared" si="0"/>
        <v>0.1875</v>
      </c>
      <c r="F11" s="13">
        <f t="shared" si="1"/>
        <v>0.8125</v>
      </c>
    </row>
    <row r="12" spans="1:12">
      <c r="A12" s="6" t="s">
        <v>18</v>
      </c>
      <c r="B12">
        <v>112</v>
      </c>
      <c r="C12">
        <v>12</v>
      </c>
      <c r="D12">
        <v>32</v>
      </c>
      <c r="E12" s="11">
        <f t="shared" si="0"/>
        <v>0.39285714285714285</v>
      </c>
      <c r="F12" s="13">
        <f t="shared" si="1"/>
        <v>0.60714285714285721</v>
      </c>
    </row>
    <row r="13" spans="1:12">
      <c r="A13" s="6" t="s">
        <v>20</v>
      </c>
      <c r="B13">
        <v>16</v>
      </c>
      <c r="C13">
        <v>0</v>
      </c>
      <c r="D13">
        <v>4</v>
      </c>
      <c r="E13" s="11">
        <f t="shared" si="0"/>
        <v>0.25</v>
      </c>
      <c r="F13" s="13">
        <f t="shared" si="1"/>
        <v>0.75</v>
      </c>
    </row>
    <row r="14" spans="1:12">
      <c r="A14" s="6" t="s">
        <v>21</v>
      </c>
      <c r="B14">
        <v>4</v>
      </c>
      <c r="C14">
        <v>0</v>
      </c>
      <c r="D14">
        <v>0</v>
      </c>
      <c r="E14" s="11">
        <f t="shared" si="0"/>
        <v>0</v>
      </c>
      <c r="F14" s="13">
        <f t="shared" si="1"/>
        <v>1</v>
      </c>
    </row>
    <row r="15" spans="1:12">
      <c r="A15" s="6" t="s">
        <v>22</v>
      </c>
      <c r="B15">
        <v>8</v>
      </c>
      <c r="C15">
        <v>1</v>
      </c>
      <c r="D15">
        <v>1</v>
      </c>
      <c r="E15" s="11">
        <f t="shared" si="0"/>
        <v>0.25</v>
      </c>
      <c r="F15" s="13">
        <f t="shared" si="1"/>
        <v>0.75</v>
      </c>
    </row>
    <row r="16" spans="1:12">
      <c r="A16" s="6" t="s">
        <v>23</v>
      </c>
      <c r="B16">
        <v>16</v>
      </c>
      <c r="C16">
        <v>0</v>
      </c>
      <c r="D16">
        <v>4</v>
      </c>
      <c r="E16" s="11">
        <f t="shared" si="0"/>
        <v>0.25</v>
      </c>
      <c r="F16" s="13">
        <f t="shared" si="1"/>
        <v>0.75</v>
      </c>
    </row>
    <row r="17" spans="1:6">
      <c r="A17" s="6" t="s">
        <v>24</v>
      </c>
      <c r="B17">
        <v>9</v>
      </c>
      <c r="C17">
        <v>1</v>
      </c>
      <c r="D17">
        <v>2</v>
      </c>
      <c r="E17" s="11">
        <f t="shared" si="0"/>
        <v>0.33333333333333331</v>
      </c>
      <c r="F17" s="13">
        <f t="shared" si="1"/>
        <v>0.66666666666666674</v>
      </c>
    </row>
    <row r="18" spans="1:6">
      <c r="A18" s="6" t="s">
        <v>25</v>
      </c>
      <c r="B18">
        <v>11</v>
      </c>
      <c r="C18">
        <v>1</v>
      </c>
      <c r="D18">
        <v>3</v>
      </c>
      <c r="E18" s="11">
        <f t="shared" si="0"/>
        <v>0.36363636363636365</v>
      </c>
      <c r="F18" s="13">
        <f t="shared" si="1"/>
        <v>0.63636363636363635</v>
      </c>
    </row>
    <row r="19" spans="1:6">
      <c r="A19" s="6" t="s">
        <v>26</v>
      </c>
      <c r="B19">
        <v>8</v>
      </c>
      <c r="C19">
        <v>0</v>
      </c>
      <c r="D19">
        <v>0</v>
      </c>
      <c r="E19" s="11">
        <f t="shared" si="0"/>
        <v>0</v>
      </c>
      <c r="F19" s="13">
        <f t="shared" si="1"/>
        <v>1</v>
      </c>
    </row>
    <row r="20" spans="1:6">
      <c r="A20" s="6" t="s">
        <v>27</v>
      </c>
      <c r="B20">
        <v>15</v>
      </c>
      <c r="C20">
        <v>1</v>
      </c>
      <c r="D20">
        <v>1</v>
      </c>
      <c r="E20" s="11">
        <f t="shared" si="0"/>
        <v>0.13333333333333333</v>
      </c>
      <c r="F20" s="13">
        <f t="shared" si="1"/>
        <v>0.8666666666666667</v>
      </c>
    </row>
    <row r="21" spans="1:6">
      <c r="A21" s="6" t="s">
        <v>28</v>
      </c>
      <c r="B21">
        <v>24</v>
      </c>
      <c r="C21">
        <v>0</v>
      </c>
      <c r="D21">
        <v>2</v>
      </c>
      <c r="E21" s="11">
        <f t="shared" si="0"/>
        <v>8.3333333333333329E-2</v>
      </c>
      <c r="F21" s="13">
        <f t="shared" si="1"/>
        <v>0.91666666666666663</v>
      </c>
    </row>
    <row r="22" spans="1:6">
      <c r="A22" s="6" t="s">
        <v>29</v>
      </c>
      <c r="B22">
        <v>9</v>
      </c>
      <c r="C22">
        <v>1</v>
      </c>
      <c r="D22">
        <v>2</v>
      </c>
      <c r="E22" s="11">
        <f t="shared" si="0"/>
        <v>0.33333333333333331</v>
      </c>
      <c r="F22" s="13">
        <f t="shared" si="1"/>
        <v>0.66666666666666674</v>
      </c>
    </row>
    <row r="23" spans="1:6">
      <c r="A23" s="6" t="s">
        <v>30</v>
      </c>
      <c r="B23">
        <v>8</v>
      </c>
      <c r="C23">
        <v>1</v>
      </c>
      <c r="D23">
        <v>0</v>
      </c>
      <c r="E23" s="11">
        <f t="shared" si="0"/>
        <v>0.125</v>
      </c>
      <c r="F23" s="13">
        <f t="shared" si="1"/>
        <v>0.875</v>
      </c>
    </row>
    <row r="24" spans="1:6">
      <c r="A24" s="6" t="s">
        <v>31</v>
      </c>
      <c r="B24">
        <v>2</v>
      </c>
      <c r="C24">
        <v>0</v>
      </c>
      <c r="D24">
        <v>0</v>
      </c>
      <c r="E24" s="11">
        <f t="shared" si="0"/>
        <v>0</v>
      </c>
      <c r="F24" s="13">
        <f t="shared" si="1"/>
        <v>1</v>
      </c>
    </row>
    <row r="25" spans="1:6">
      <c r="A25" s="6" t="s">
        <v>32</v>
      </c>
      <c r="B25">
        <v>44</v>
      </c>
      <c r="C25">
        <v>1</v>
      </c>
      <c r="D25">
        <v>10</v>
      </c>
      <c r="E25" s="11">
        <f t="shared" si="0"/>
        <v>0.25</v>
      </c>
      <c r="F25" s="13">
        <f t="shared" si="1"/>
        <v>0.75</v>
      </c>
    </row>
    <row r="26" spans="1:6">
      <c r="A26" s="6" t="s">
        <v>33</v>
      </c>
      <c r="B26">
        <v>4</v>
      </c>
      <c r="C26">
        <v>0</v>
      </c>
      <c r="D26">
        <v>1</v>
      </c>
      <c r="E26" s="11">
        <f t="shared" si="0"/>
        <v>0.25</v>
      </c>
      <c r="F26" s="13">
        <f t="shared" si="1"/>
        <v>0.75</v>
      </c>
    </row>
    <row r="27" spans="1:6">
      <c r="A27" s="6" t="s">
        <v>34</v>
      </c>
      <c r="B27">
        <v>4</v>
      </c>
      <c r="C27">
        <v>0</v>
      </c>
      <c r="D27">
        <v>1</v>
      </c>
      <c r="E27" s="11">
        <f t="shared" si="0"/>
        <v>0.25</v>
      </c>
      <c r="F27" s="13">
        <f t="shared" si="1"/>
        <v>0.75</v>
      </c>
    </row>
    <row r="28" spans="1:6">
      <c r="A28" s="6" t="s">
        <v>35</v>
      </c>
      <c r="B28">
        <v>8</v>
      </c>
      <c r="C28">
        <v>0</v>
      </c>
      <c r="D28">
        <v>0</v>
      </c>
      <c r="E28" s="11">
        <f t="shared" si="0"/>
        <v>0</v>
      </c>
      <c r="F28" s="13">
        <f t="shared" si="1"/>
        <v>1</v>
      </c>
    </row>
    <row r="29" spans="1:6">
      <c r="A29" s="6" t="s">
        <v>36</v>
      </c>
      <c r="B29">
        <v>4</v>
      </c>
      <c r="C29">
        <v>0</v>
      </c>
      <c r="D29">
        <v>0</v>
      </c>
      <c r="E29" s="11">
        <f t="shared" si="0"/>
        <v>0</v>
      </c>
      <c r="F29" s="13">
        <f t="shared" si="1"/>
        <v>1</v>
      </c>
    </row>
    <row r="30" spans="1:6">
      <c r="A30" s="6" t="s">
        <v>37</v>
      </c>
      <c r="B30">
        <v>73</v>
      </c>
      <c r="C30">
        <v>31</v>
      </c>
      <c r="D30">
        <v>10</v>
      </c>
      <c r="E30" s="11">
        <f t="shared" si="0"/>
        <v>0.56164383561643838</v>
      </c>
      <c r="F30" s="13">
        <f t="shared" si="1"/>
        <v>0.43835616438356162</v>
      </c>
    </row>
    <row r="31" spans="1:6">
      <c r="A31" s="6" t="s">
        <v>38</v>
      </c>
      <c r="B31">
        <v>17</v>
      </c>
      <c r="C31">
        <v>4</v>
      </c>
      <c r="D31">
        <v>2</v>
      </c>
      <c r="E31" s="11">
        <f t="shared" si="0"/>
        <v>0.35294117647058826</v>
      </c>
      <c r="F31" s="13">
        <f t="shared" si="1"/>
        <v>0.64705882352941169</v>
      </c>
    </row>
    <row r="32" spans="1:6">
      <c r="A32" s="6" t="s">
        <v>39</v>
      </c>
      <c r="B32">
        <v>8</v>
      </c>
      <c r="C32">
        <v>0</v>
      </c>
      <c r="D32">
        <v>2</v>
      </c>
      <c r="E32" s="11">
        <f t="shared" si="0"/>
        <v>0.25</v>
      </c>
      <c r="F32" s="13">
        <f t="shared" si="1"/>
        <v>0.75</v>
      </c>
    </row>
    <row r="33" spans="1:6">
      <c r="A33" s="6" t="s">
        <v>40</v>
      </c>
      <c r="B33">
        <v>30</v>
      </c>
      <c r="C33">
        <v>0</v>
      </c>
      <c r="D33">
        <v>11</v>
      </c>
      <c r="E33" s="11">
        <f t="shared" si="0"/>
        <v>0.36666666666666664</v>
      </c>
      <c r="F33" s="13">
        <f t="shared" si="1"/>
        <v>0.6333333333333333</v>
      </c>
    </row>
    <row r="34" spans="1:6">
      <c r="A34" s="6" t="s">
        <v>41</v>
      </c>
      <c r="B34">
        <v>63</v>
      </c>
      <c r="C34">
        <v>16</v>
      </c>
      <c r="D34">
        <v>11</v>
      </c>
      <c r="E34" s="11">
        <f t="shared" si="0"/>
        <v>0.42857142857142855</v>
      </c>
      <c r="F34" s="13">
        <f t="shared" si="1"/>
        <v>0.5714285714285714</v>
      </c>
    </row>
    <row r="35" spans="1:6">
      <c r="A35" s="6" t="s">
        <v>42</v>
      </c>
      <c r="B35">
        <v>32</v>
      </c>
      <c r="C35">
        <v>4</v>
      </c>
      <c r="D35">
        <v>6</v>
      </c>
      <c r="E35" s="11">
        <f t="shared" si="0"/>
        <v>0.3125</v>
      </c>
      <c r="F35" s="13">
        <f t="shared" si="1"/>
        <v>0.6875</v>
      </c>
    </row>
    <row r="36" spans="1:6">
      <c r="A36" s="6" t="s">
        <v>43</v>
      </c>
      <c r="B36">
        <v>4</v>
      </c>
      <c r="C36">
        <v>0</v>
      </c>
      <c r="D36">
        <v>0</v>
      </c>
      <c r="E36" s="11">
        <f t="shared" si="0"/>
        <v>0</v>
      </c>
      <c r="F36" s="13">
        <f t="shared" si="1"/>
        <v>1</v>
      </c>
    </row>
    <row r="37" spans="1:6">
      <c r="A37" s="6" t="s">
        <v>44</v>
      </c>
      <c r="B37">
        <v>36</v>
      </c>
      <c r="C37">
        <v>0</v>
      </c>
      <c r="D37">
        <v>12</v>
      </c>
      <c r="E37" s="11">
        <f t="shared" si="0"/>
        <v>0.33333333333333331</v>
      </c>
      <c r="F37" s="13">
        <f t="shared" si="1"/>
        <v>0.66666666666666674</v>
      </c>
    </row>
    <row r="38" spans="1:6">
      <c r="A38" s="6" t="s">
        <v>47</v>
      </c>
      <c r="B38">
        <v>4</v>
      </c>
      <c r="C38">
        <v>2</v>
      </c>
      <c r="D38">
        <v>1</v>
      </c>
      <c r="E38" s="11">
        <f t="shared" si="0"/>
        <v>0.75</v>
      </c>
      <c r="F38" s="13">
        <f t="shared" si="1"/>
        <v>0.25</v>
      </c>
    </row>
    <row r="39" spans="1:6">
      <c r="A39" s="6" t="s">
        <v>49</v>
      </c>
      <c r="B39">
        <v>2</v>
      </c>
      <c r="C39">
        <v>0</v>
      </c>
      <c r="D39">
        <v>0</v>
      </c>
      <c r="E39" s="11">
        <f t="shared" si="0"/>
        <v>0</v>
      </c>
      <c r="F39" s="13">
        <f t="shared" si="1"/>
        <v>1</v>
      </c>
    </row>
    <row r="40" spans="1:6">
      <c r="A40" s="6" t="s">
        <v>51</v>
      </c>
      <c r="B40">
        <v>4</v>
      </c>
      <c r="C40">
        <v>2</v>
      </c>
      <c r="D40">
        <v>0</v>
      </c>
      <c r="E40" s="11">
        <f t="shared" si="0"/>
        <v>0.5</v>
      </c>
      <c r="F40" s="13">
        <f t="shared" si="1"/>
        <v>0.5</v>
      </c>
    </row>
    <row r="41" spans="1:6">
      <c r="A41" s="6" t="s">
        <v>53</v>
      </c>
      <c r="B41">
        <v>36</v>
      </c>
      <c r="C41">
        <v>2</v>
      </c>
      <c r="D41">
        <v>4</v>
      </c>
      <c r="E41" s="11">
        <f t="shared" si="0"/>
        <v>0.16666666666666666</v>
      </c>
      <c r="F41" s="13">
        <f t="shared" si="1"/>
        <v>0.83333333333333337</v>
      </c>
    </row>
    <row r="42" spans="1:6">
      <c r="A42" s="6" t="s">
        <v>57</v>
      </c>
      <c r="B42">
        <v>8</v>
      </c>
      <c r="C42">
        <v>2</v>
      </c>
      <c r="D42">
        <v>0</v>
      </c>
      <c r="E42" s="11">
        <f t="shared" si="0"/>
        <v>0.25</v>
      </c>
      <c r="F42" s="13">
        <f t="shared" si="1"/>
        <v>0.75</v>
      </c>
    </row>
    <row r="43" spans="1:6">
      <c r="A43" s="6" t="s">
        <v>59</v>
      </c>
      <c r="B43">
        <v>14</v>
      </c>
      <c r="C43">
        <v>1</v>
      </c>
      <c r="D43">
        <v>2</v>
      </c>
      <c r="E43" s="11">
        <f t="shared" si="0"/>
        <v>0.21428571428571427</v>
      </c>
      <c r="F43" s="13">
        <f t="shared" si="1"/>
        <v>0.7857142857142857</v>
      </c>
    </row>
    <row r="44" spans="1:6">
      <c r="A44" s="6" t="s">
        <v>60</v>
      </c>
      <c r="B44">
        <v>4</v>
      </c>
      <c r="C44">
        <v>1</v>
      </c>
      <c r="D44">
        <v>1</v>
      </c>
      <c r="E44" s="11">
        <f t="shared" si="0"/>
        <v>0.5</v>
      </c>
      <c r="F44" s="13">
        <f t="shared" si="1"/>
        <v>0.5</v>
      </c>
    </row>
    <row r="45" spans="1:6">
      <c r="A45" s="6" t="s">
        <v>61</v>
      </c>
      <c r="B45">
        <v>18</v>
      </c>
      <c r="C45">
        <v>17</v>
      </c>
      <c r="D45">
        <v>0</v>
      </c>
      <c r="E45" s="11">
        <f t="shared" si="0"/>
        <v>0.94444444444444442</v>
      </c>
      <c r="F45" s="13">
        <f t="shared" si="1"/>
        <v>5.555555555555558E-2</v>
      </c>
    </row>
    <row r="46" spans="1:6">
      <c r="A46" s="6" t="s">
        <v>63</v>
      </c>
      <c r="B46">
        <v>26</v>
      </c>
      <c r="C46">
        <v>4</v>
      </c>
      <c r="D46">
        <v>4</v>
      </c>
      <c r="E46" s="11">
        <f t="shared" si="0"/>
        <v>0.30769230769230771</v>
      </c>
      <c r="F46" s="13">
        <f t="shared" si="1"/>
        <v>0.69230769230769229</v>
      </c>
    </row>
    <row r="47" spans="1:6">
      <c r="A47" s="6" t="s">
        <v>65</v>
      </c>
      <c r="B47">
        <v>2</v>
      </c>
      <c r="C47">
        <v>0</v>
      </c>
      <c r="D47">
        <v>0</v>
      </c>
      <c r="E47" s="11">
        <f t="shared" si="0"/>
        <v>0</v>
      </c>
      <c r="F47" s="13">
        <f t="shared" si="1"/>
        <v>1</v>
      </c>
    </row>
    <row r="48" spans="1:6">
      <c r="A48" s="6" t="s">
        <v>67</v>
      </c>
      <c r="B48">
        <v>6</v>
      </c>
      <c r="C48">
        <v>1</v>
      </c>
      <c r="D48">
        <v>3</v>
      </c>
      <c r="E48" s="11">
        <f t="shared" si="0"/>
        <v>0.66666666666666663</v>
      </c>
      <c r="F48" s="13">
        <f t="shared" si="1"/>
        <v>0.33333333333333337</v>
      </c>
    </row>
    <row r="49" spans="1:6">
      <c r="A49" s="6" t="s">
        <v>68</v>
      </c>
      <c r="B49">
        <v>6</v>
      </c>
      <c r="C49">
        <v>3</v>
      </c>
      <c r="D49">
        <v>3</v>
      </c>
      <c r="E49" s="11">
        <f t="shared" si="0"/>
        <v>1</v>
      </c>
      <c r="F49" s="13">
        <f t="shared" si="1"/>
        <v>0</v>
      </c>
    </row>
    <row r="50" spans="1:6">
      <c r="A50" s="6" t="s">
        <v>69</v>
      </c>
      <c r="B50">
        <v>4</v>
      </c>
      <c r="C50">
        <v>0</v>
      </c>
      <c r="D50">
        <v>0</v>
      </c>
      <c r="E50" s="11">
        <f t="shared" si="0"/>
        <v>0</v>
      </c>
      <c r="F50" s="13">
        <f t="shared" si="1"/>
        <v>1</v>
      </c>
    </row>
    <row r="51" spans="1:6">
      <c r="A51" s="6" t="s">
        <v>71</v>
      </c>
      <c r="B51">
        <v>3</v>
      </c>
      <c r="C51">
        <v>3</v>
      </c>
      <c r="D51">
        <v>2</v>
      </c>
      <c r="E51" s="11">
        <f t="shared" si="0"/>
        <v>1.6666666666666667</v>
      </c>
      <c r="F51" s="13">
        <f t="shared" si="1"/>
        <v>-0.66666666666666674</v>
      </c>
    </row>
    <row r="52" spans="1:6">
      <c r="A52" s="6" t="s">
        <v>73</v>
      </c>
      <c r="B52">
        <v>8</v>
      </c>
      <c r="C52">
        <v>3</v>
      </c>
      <c r="D52">
        <v>0</v>
      </c>
      <c r="E52" s="11">
        <f t="shared" si="0"/>
        <v>0.375</v>
      </c>
      <c r="F52" s="13">
        <f t="shared" si="1"/>
        <v>0.625</v>
      </c>
    </row>
    <row r="53" spans="1:6">
      <c r="A53" s="6" t="s">
        <v>75</v>
      </c>
      <c r="B53">
        <v>2</v>
      </c>
      <c r="C53">
        <v>1</v>
      </c>
      <c r="D53">
        <v>1</v>
      </c>
      <c r="E53" s="11">
        <f t="shared" si="0"/>
        <v>1</v>
      </c>
      <c r="F53" s="13">
        <f t="shared" si="1"/>
        <v>0</v>
      </c>
    </row>
    <row r="54" spans="1:6">
      <c r="A54" s="6" t="s">
        <v>77</v>
      </c>
      <c r="B54">
        <v>2</v>
      </c>
      <c r="C54">
        <v>0</v>
      </c>
      <c r="D54">
        <v>1</v>
      </c>
      <c r="E54" s="11">
        <f t="shared" si="0"/>
        <v>0.5</v>
      </c>
      <c r="F54" s="13">
        <f t="shared" si="1"/>
        <v>0.5</v>
      </c>
    </row>
    <row r="55" spans="1:6">
      <c r="A55" s="6" t="s">
        <v>78</v>
      </c>
      <c r="B55">
        <v>74</v>
      </c>
      <c r="C55">
        <v>0</v>
      </c>
      <c r="D55">
        <v>9</v>
      </c>
      <c r="E55" s="11">
        <f t="shared" si="0"/>
        <v>0.12162162162162163</v>
      </c>
      <c r="F55" s="13">
        <f t="shared" si="1"/>
        <v>0.8783783783783784</v>
      </c>
    </row>
    <row r="56" spans="1:6">
      <c r="A56" s="6" t="s">
        <v>81</v>
      </c>
      <c r="B56">
        <v>106</v>
      </c>
      <c r="C56">
        <v>0</v>
      </c>
      <c r="D56">
        <v>20</v>
      </c>
      <c r="E56" s="11">
        <f t="shared" si="0"/>
        <v>0.18867924528301888</v>
      </c>
      <c r="F56" s="13">
        <f t="shared" si="1"/>
        <v>0.81132075471698117</v>
      </c>
    </row>
    <row r="57" spans="1:6">
      <c r="A57" s="6" t="s">
        <v>85</v>
      </c>
      <c r="B57">
        <v>106</v>
      </c>
      <c r="C57">
        <v>0</v>
      </c>
      <c r="D57">
        <v>23</v>
      </c>
      <c r="E57" s="11">
        <f t="shared" si="0"/>
        <v>0.21698113207547171</v>
      </c>
      <c r="F57" s="13">
        <f t="shared" si="1"/>
        <v>0.78301886792452824</v>
      </c>
    </row>
    <row r="58" spans="1:6">
      <c r="A58" s="6" t="s">
        <v>87</v>
      </c>
      <c r="B58">
        <v>5</v>
      </c>
      <c r="C58">
        <v>0</v>
      </c>
      <c r="D58">
        <v>1</v>
      </c>
      <c r="E58" s="11">
        <f t="shared" si="0"/>
        <v>0.2</v>
      </c>
      <c r="F58" s="13">
        <f t="shared" si="1"/>
        <v>0.8</v>
      </c>
    </row>
    <row r="59" spans="1:6">
      <c r="A59" s="6" t="s">
        <v>89</v>
      </c>
      <c r="B59">
        <v>138</v>
      </c>
      <c r="C59">
        <v>0</v>
      </c>
      <c r="D59">
        <v>30</v>
      </c>
      <c r="E59" s="11">
        <f t="shared" si="0"/>
        <v>0.21739130434782608</v>
      </c>
      <c r="F59" s="13">
        <f t="shared" si="1"/>
        <v>0.78260869565217395</v>
      </c>
    </row>
    <row r="60" spans="1:6">
      <c r="A60" s="6" t="s">
        <v>93</v>
      </c>
      <c r="B60">
        <v>13</v>
      </c>
      <c r="C60">
        <v>9</v>
      </c>
      <c r="D60">
        <v>8</v>
      </c>
      <c r="E60" s="11">
        <f t="shared" si="0"/>
        <v>1.3076923076923077</v>
      </c>
      <c r="F60" s="13">
        <f t="shared" si="1"/>
        <v>-0.30769230769230771</v>
      </c>
    </row>
    <row r="61" spans="1:6">
      <c r="A61" s="6" t="s">
        <v>95</v>
      </c>
      <c r="B61">
        <v>12</v>
      </c>
      <c r="C61">
        <v>6</v>
      </c>
      <c r="D61">
        <v>3</v>
      </c>
      <c r="E61" s="11">
        <f t="shared" si="0"/>
        <v>0.75</v>
      </c>
      <c r="F61" s="13">
        <f t="shared" si="1"/>
        <v>0.25</v>
      </c>
    </row>
    <row r="62" spans="1:6">
      <c r="A62" s="6" t="s">
        <v>100</v>
      </c>
      <c r="B62">
        <v>26</v>
      </c>
      <c r="C62">
        <v>15</v>
      </c>
      <c r="D62">
        <v>6</v>
      </c>
      <c r="E62" s="11">
        <f t="shared" si="0"/>
        <v>0.80769230769230771</v>
      </c>
      <c r="F62" s="13">
        <f t="shared" si="1"/>
        <v>0.19230769230769229</v>
      </c>
    </row>
    <row r="63" spans="1:6">
      <c r="A63" s="6" t="s">
        <v>104</v>
      </c>
      <c r="B63">
        <v>150</v>
      </c>
      <c r="C63">
        <v>0</v>
      </c>
      <c r="D63">
        <v>23</v>
      </c>
      <c r="E63" s="11">
        <f t="shared" si="0"/>
        <v>0.15333333333333332</v>
      </c>
      <c r="F63" s="13">
        <f t="shared" si="1"/>
        <v>0.84666666666666668</v>
      </c>
    </row>
    <row r="64" spans="1:6">
      <c r="A64" s="6" t="s">
        <v>106</v>
      </c>
      <c r="B64">
        <v>12</v>
      </c>
      <c r="C64">
        <v>0</v>
      </c>
      <c r="D64">
        <v>1</v>
      </c>
      <c r="E64" s="11">
        <f t="shared" si="0"/>
        <v>8.3333333333333329E-2</v>
      </c>
      <c r="F64" s="13">
        <f t="shared" si="1"/>
        <v>0.91666666666666663</v>
      </c>
    </row>
    <row r="65" spans="1:6">
      <c r="A65" s="6" t="s">
        <v>109</v>
      </c>
      <c r="B65">
        <v>100</v>
      </c>
      <c r="C65">
        <v>4</v>
      </c>
      <c r="D65">
        <v>19</v>
      </c>
      <c r="E65" s="11">
        <f t="shared" si="0"/>
        <v>0.23</v>
      </c>
      <c r="F65" s="13">
        <f t="shared" si="1"/>
        <v>0.77</v>
      </c>
    </row>
    <row r="66" spans="1:6">
      <c r="A66" s="6" t="s">
        <v>115</v>
      </c>
      <c r="B66">
        <v>38</v>
      </c>
      <c r="C66">
        <v>0</v>
      </c>
      <c r="D66">
        <v>0</v>
      </c>
      <c r="E66" s="11">
        <f t="shared" si="0"/>
        <v>0</v>
      </c>
      <c r="F66" s="13">
        <f t="shared" si="1"/>
        <v>1</v>
      </c>
    </row>
    <row r="67" spans="1:6">
      <c r="A67" s="6" t="s">
        <v>119</v>
      </c>
      <c r="B67">
        <v>2</v>
      </c>
      <c r="C67">
        <v>1</v>
      </c>
      <c r="D67">
        <v>0</v>
      </c>
      <c r="E67" s="11">
        <f t="shared" ref="E67:E130" si="2">(C67+D67)/B67</f>
        <v>0.5</v>
      </c>
      <c r="F67" s="13">
        <f t="shared" ref="F67:F130" si="3">100%-E67</f>
        <v>0.5</v>
      </c>
    </row>
    <row r="68" spans="1:6">
      <c r="A68" s="6" t="s">
        <v>121</v>
      </c>
      <c r="B68">
        <v>39</v>
      </c>
      <c r="C68">
        <v>1</v>
      </c>
      <c r="D68">
        <v>3</v>
      </c>
      <c r="E68" s="11">
        <f t="shared" si="2"/>
        <v>0.10256410256410256</v>
      </c>
      <c r="F68" s="13">
        <f t="shared" si="3"/>
        <v>0.89743589743589747</v>
      </c>
    </row>
    <row r="69" spans="1:6">
      <c r="A69" s="6" t="s">
        <v>123</v>
      </c>
      <c r="B69">
        <v>48</v>
      </c>
      <c r="C69">
        <v>0</v>
      </c>
      <c r="D69">
        <v>6</v>
      </c>
      <c r="E69" s="11">
        <f t="shared" si="2"/>
        <v>0.125</v>
      </c>
      <c r="F69" s="13">
        <f t="shared" si="3"/>
        <v>0.875</v>
      </c>
    </row>
    <row r="70" spans="1:6">
      <c r="A70" s="6" t="s">
        <v>126</v>
      </c>
      <c r="B70">
        <v>18</v>
      </c>
      <c r="C70">
        <v>0</v>
      </c>
      <c r="D70">
        <v>3</v>
      </c>
      <c r="E70" s="11">
        <f t="shared" si="2"/>
        <v>0.16666666666666666</v>
      </c>
      <c r="F70" s="13">
        <f t="shared" si="3"/>
        <v>0.83333333333333337</v>
      </c>
    </row>
    <row r="71" spans="1:6">
      <c r="A71" s="6" t="s">
        <v>128</v>
      </c>
      <c r="B71">
        <v>18</v>
      </c>
      <c r="C71">
        <v>2</v>
      </c>
      <c r="D71">
        <v>2</v>
      </c>
      <c r="E71" s="11">
        <f t="shared" si="2"/>
        <v>0.22222222222222221</v>
      </c>
      <c r="F71" s="13">
        <f t="shared" si="3"/>
        <v>0.77777777777777779</v>
      </c>
    </row>
    <row r="72" spans="1:6">
      <c r="A72" s="6" t="s">
        <v>130</v>
      </c>
      <c r="B72">
        <v>6</v>
      </c>
      <c r="C72">
        <v>0</v>
      </c>
      <c r="D72">
        <v>0</v>
      </c>
      <c r="E72" s="11">
        <f t="shared" si="2"/>
        <v>0</v>
      </c>
      <c r="F72" s="13">
        <f t="shared" si="3"/>
        <v>1</v>
      </c>
    </row>
    <row r="73" spans="1:6">
      <c r="A73" s="6" t="s">
        <v>134</v>
      </c>
      <c r="B73">
        <v>84</v>
      </c>
      <c r="C73">
        <v>0</v>
      </c>
      <c r="D73">
        <v>11</v>
      </c>
      <c r="E73" s="11">
        <f t="shared" si="2"/>
        <v>0.13095238095238096</v>
      </c>
      <c r="F73" s="13">
        <f t="shared" si="3"/>
        <v>0.86904761904761907</v>
      </c>
    </row>
    <row r="74" spans="1:6">
      <c r="A74" s="6" t="s">
        <v>138</v>
      </c>
      <c r="B74">
        <v>12</v>
      </c>
      <c r="C74">
        <v>0</v>
      </c>
      <c r="D74">
        <v>2</v>
      </c>
      <c r="E74" s="11">
        <f t="shared" si="2"/>
        <v>0.16666666666666666</v>
      </c>
      <c r="F74" s="13">
        <f t="shared" si="3"/>
        <v>0.83333333333333337</v>
      </c>
    </row>
    <row r="75" spans="1:6">
      <c r="A75" s="6" t="s">
        <v>141</v>
      </c>
      <c r="B75">
        <v>18</v>
      </c>
      <c r="C75">
        <v>2</v>
      </c>
      <c r="D75">
        <v>2</v>
      </c>
      <c r="E75" s="11">
        <f t="shared" si="2"/>
        <v>0.22222222222222221</v>
      </c>
      <c r="F75" s="13">
        <f t="shared" si="3"/>
        <v>0.77777777777777779</v>
      </c>
    </row>
    <row r="76" spans="1:6">
      <c r="A76" s="6" t="s">
        <v>142</v>
      </c>
      <c r="B76">
        <v>20</v>
      </c>
      <c r="C76">
        <v>0</v>
      </c>
      <c r="D76">
        <v>3</v>
      </c>
      <c r="E76" s="11">
        <f t="shared" si="2"/>
        <v>0.15</v>
      </c>
      <c r="F76" s="13">
        <f t="shared" si="3"/>
        <v>0.85</v>
      </c>
    </row>
    <row r="77" spans="1:6">
      <c r="A77" s="6" t="s">
        <v>143</v>
      </c>
      <c r="B77">
        <v>592</v>
      </c>
      <c r="C77">
        <v>0</v>
      </c>
      <c r="D77">
        <v>26</v>
      </c>
      <c r="E77" s="11">
        <f t="shared" si="2"/>
        <v>4.3918918918918921E-2</v>
      </c>
      <c r="F77" s="13">
        <f t="shared" si="3"/>
        <v>0.95608108108108103</v>
      </c>
    </row>
    <row r="78" spans="1:6">
      <c r="A78" s="6" t="s">
        <v>149</v>
      </c>
      <c r="B78">
        <v>28</v>
      </c>
      <c r="C78">
        <v>0</v>
      </c>
      <c r="D78">
        <v>4</v>
      </c>
      <c r="E78" s="11">
        <f t="shared" si="2"/>
        <v>0.14285714285714285</v>
      </c>
      <c r="F78" s="13">
        <f t="shared" si="3"/>
        <v>0.85714285714285721</v>
      </c>
    </row>
    <row r="79" spans="1:6">
      <c r="A79" s="6" t="s">
        <v>151</v>
      </c>
      <c r="B79">
        <v>12</v>
      </c>
      <c r="C79">
        <v>0</v>
      </c>
      <c r="D79">
        <v>4</v>
      </c>
      <c r="E79" s="11">
        <f t="shared" si="2"/>
        <v>0.33333333333333331</v>
      </c>
      <c r="F79" s="13">
        <f t="shared" si="3"/>
        <v>0.66666666666666674</v>
      </c>
    </row>
    <row r="80" spans="1:6">
      <c r="A80" s="6" t="s">
        <v>153</v>
      </c>
      <c r="B80">
        <v>66</v>
      </c>
      <c r="C80">
        <v>0</v>
      </c>
      <c r="D80">
        <v>13</v>
      </c>
      <c r="E80" s="11">
        <f t="shared" si="2"/>
        <v>0.19696969696969696</v>
      </c>
      <c r="F80" s="13">
        <f t="shared" si="3"/>
        <v>0.80303030303030298</v>
      </c>
    </row>
    <row r="81" spans="1:6">
      <c r="A81" s="6" t="s">
        <v>155</v>
      </c>
      <c r="B81">
        <v>26</v>
      </c>
      <c r="C81">
        <v>0</v>
      </c>
      <c r="D81">
        <v>0</v>
      </c>
      <c r="E81" s="11">
        <f t="shared" si="2"/>
        <v>0</v>
      </c>
      <c r="F81" s="13">
        <f t="shared" si="3"/>
        <v>1</v>
      </c>
    </row>
    <row r="82" spans="1:6">
      <c r="A82" s="6" t="s">
        <v>157</v>
      </c>
      <c r="B82">
        <v>66</v>
      </c>
      <c r="C82">
        <v>15</v>
      </c>
      <c r="D82">
        <v>14</v>
      </c>
      <c r="E82" s="11">
        <f t="shared" si="2"/>
        <v>0.43939393939393939</v>
      </c>
      <c r="F82" s="13">
        <f t="shared" si="3"/>
        <v>0.56060606060606055</v>
      </c>
    </row>
    <row r="83" spans="1:6">
      <c r="A83" s="6" t="s">
        <v>163</v>
      </c>
      <c r="B83">
        <v>16</v>
      </c>
      <c r="C83">
        <v>0</v>
      </c>
      <c r="D83">
        <v>4</v>
      </c>
      <c r="E83" s="11">
        <f t="shared" si="2"/>
        <v>0.25</v>
      </c>
      <c r="F83" s="13">
        <f t="shared" si="3"/>
        <v>0.75</v>
      </c>
    </row>
    <row r="84" spans="1:6">
      <c r="A84" s="6" t="s">
        <v>166</v>
      </c>
      <c r="B84">
        <v>116</v>
      </c>
      <c r="C84">
        <v>0</v>
      </c>
      <c r="D84">
        <v>40</v>
      </c>
      <c r="E84" s="11">
        <f t="shared" si="2"/>
        <v>0.34482758620689657</v>
      </c>
      <c r="F84" s="13">
        <f t="shared" si="3"/>
        <v>0.65517241379310343</v>
      </c>
    </row>
    <row r="85" spans="1:6">
      <c r="A85" s="6" t="s">
        <v>169</v>
      </c>
      <c r="B85">
        <v>44</v>
      </c>
      <c r="C85">
        <v>0</v>
      </c>
      <c r="D85">
        <v>12</v>
      </c>
      <c r="E85" s="11">
        <f t="shared" si="2"/>
        <v>0.27272727272727271</v>
      </c>
      <c r="F85" s="13">
        <f t="shared" si="3"/>
        <v>0.72727272727272729</v>
      </c>
    </row>
    <row r="86" spans="1:6">
      <c r="A86" s="6" t="s">
        <v>172</v>
      </c>
      <c r="B86">
        <v>6</v>
      </c>
      <c r="C86">
        <v>0</v>
      </c>
      <c r="D86">
        <v>1</v>
      </c>
      <c r="E86" s="11">
        <f t="shared" si="2"/>
        <v>0.16666666666666666</v>
      </c>
      <c r="F86" s="13">
        <f t="shared" si="3"/>
        <v>0.83333333333333337</v>
      </c>
    </row>
    <row r="87" spans="1:6">
      <c r="A87" s="6" t="s">
        <v>174</v>
      </c>
      <c r="B87">
        <v>19</v>
      </c>
      <c r="C87">
        <v>2</v>
      </c>
      <c r="D87">
        <v>3</v>
      </c>
      <c r="E87" s="11">
        <f t="shared" si="2"/>
        <v>0.26315789473684209</v>
      </c>
      <c r="F87" s="13">
        <f t="shared" si="3"/>
        <v>0.73684210526315796</v>
      </c>
    </row>
    <row r="88" spans="1:6">
      <c r="A88" s="6" t="s">
        <v>177</v>
      </c>
      <c r="B88">
        <v>4</v>
      </c>
      <c r="C88">
        <v>0</v>
      </c>
      <c r="D88">
        <v>0</v>
      </c>
      <c r="E88" s="11">
        <f t="shared" si="2"/>
        <v>0</v>
      </c>
      <c r="F88" s="13">
        <f t="shared" si="3"/>
        <v>1</v>
      </c>
    </row>
    <row r="89" spans="1:6">
      <c r="A89" s="6" t="s">
        <v>179</v>
      </c>
      <c r="B89">
        <v>14</v>
      </c>
      <c r="C89">
        <v>0</v>
      </c>
      <c r="D89">
        <v>0</v>
      </c>
      <c r="E89" s="11">
        <f t="shared" si="2"/>
        <v>0</v>
      </c>
      <c r="F89" s="13">
        <f t="shared" si="3"/>
        <v>1</v>
      </c>
    </row>
    <row r="90" spans="1:6">
      <c r="A90" s="6" t="s">
        <v>180</v>
      </c>
      <c r="B90">
        <v>4</v>
      </c>
      <c r="C90">
        <v>0</v>
      </c>
      <c r="D90">
        <v>0</v>
      </c>
      <c r="E90" s="11">
        <f t="shared" si="2"/>
        <v>0</v>
      </c>
      <c r="F90" s="13">
        <f t="shared" si="3"/>
        <v>1</v>
      </c>
    </row>
    <row r="91" spans="1:6">
      <c r="A91" s="6" t="s">
        <v>181</v>
      </c>
      <c r="B91">
        <v>4</v>
      </c>
      <c r="C91">
        <v>0</v>
      </c>
      <c r="D91">
        <v>0</v>
      </c>
      <c r="E91" s="11">
        <f t="shared" si="2"/>
        <v>0</v>
      </c>
      <c r="F91" s="13">
        <f t="shared" si="3"/>
        <v>1</v>
      </c>
    </row>
    <row r="92" spans="1:6">
      <c r="A92" s="6" t="s">
        <v>182</v>
      </c>
      <c r="B92">
        <v>6</v>
      </c>
      <c r="C92">
        <v>0</v>
      </c>
      <c r="D92">
        <v>0</v>
      </c>
      <c r="E92" s="11">
        <f t="shared" si="2"/>
        <v>0</v>
      </c>
      <c r="F92" s="13">
        <f t="shared" si="3"/>
        <v>1</v>
      </c>
    </row>
    <row r="93" spans="1:6">
      <c r="A93" s="6" t="s">
        <v>183</v>
      </c>
      <c r="B93">
        <v>2</v>
      </c>
      <c r="C93">
        <v>0</v>
      </c>
      <c r="D93">
        <v>0</v>
      </c>
      <c r="E93" s="11">
        <f t="shared" si="2"/>
        <v>0</v>
      </c>
      <c r="F93" s="13">
        <f t="shared" si="3"/>
        <v>1</v>
      </c>
    </row>
    <row r="94" spans="1:6">
      <c r="A94" s="6" t="s">
        <v>184</v>
      </c>
      <c r="B94">
        <v>12</v>
      </c>
      <c r="C94">
        <v>0</v>
      </c>
      <c r="D94">
        <v>0</v>
      </c>
      <c r="E94" s="11">
        <f t="shared" si="2"/>
        <v>0</v>
      </c>
      <c r="F94" s="13">
        <f t="shared" si="3"/>
        <v>1</v>
      </c>
    </row>
    <row r="95" spans="1:6">
      <c r="A95" s="6" t="s">
        <v>185</v>
      </c>
      <c r="B95">
        <v>12</v>
      </c>
      <c r="C95">
        <v>0</v>
      </c>
      <c r="D95">
        <v>0</v>
      </c>
      <c r="E95" s="11">
        <f t="shared" si="2"/>
        <v>0</v>
      </c>
      <c r="F95" s="13">
        <f t="shared" si="3"/>
        <v>1</v>
      </c>
    </row>
    <row r="96" spans="1:6">
      <c r="A96" s="6" t="s">
        <v>187</v>
      </c>
      <c r="B96">
        <v>28</v>
      </c>
      <c r="C96">
        <v>0</v>
      </c>
      <c r="D96">
        <v>2</v>
      </c>
      <c r="E96" s="11">
        <f t="shared" si="2"/>
        <v>7.1428571428571425E-2</v>
      </c>
      <c r="F96" s="13">
        <f t="shared" si="3"/>
        <v>0.9285714285714286</v>
      </c>
    </row>
    <row r="97" spans="1:6">
      <c r="A97" s="6" t="s">
        <v>190</v>
      </c>
      <c r="B97">
        <v>48</v>
      </c>
      <c r="C97">
        <v>4</v>
      </c>
      <c r="D97">
        <v>2</v>
      </c>
      <c r="E97" s="11">
        <f t="shared" si="2"/>
        <v>0.125</v>
      </c>
      <c r="F97" s="13">
        <f t="shared" si="3"/>
        <v>0.875</v>
      </c>
    </row>
    <row r="98" spans="1:6">
      <c r="A98" s="6" t="s">
        <v>197</v>
      </c>
      <c r="B98">
        <v>46</v>
      </c>
      <c r="C98">
        <v>0</v>
      </c>
      <c r="D98">
        <v>6</v>
      </c>
      <c r="E98" s="11">
        <f t="shared" si="2"/>
        <v>0.13043478260869565</v>
      </c>
      <c r="F98" s="13">
        <f t="shared" si="3"/>
        <v>0.86956521739130432</v>
      </c>
    </row>
    <row r="99" spans="1:6">
      <c r="A99" s="6" t="s">
        <v>199</v>
      </c>
      <c r="B99">
        <v>228</v>
      </c>
      <c r="C99">
        <v>4</v>
      </c>
      <c r="D99">
        <v>30</v>
      </c>
      <c r="E99" s="11">
        <f t="shared" si="2"/>
        <v>0.14912280701754385</v>
      </c>
      <c r="F99" s="13">
        <f t="shared" si="3"/>
        <v>0.85087719298245612</v>
      </c>
    </row>
    <row r="100" spans="1:6">
      <c r="A100" s="6" t="s">
        <v>205</v>
      </c>
      <c r="B100">
        <v>146</v>
      </c>
      <c r="C100">
        <v>1</v>
      </c>
      <c r="D100">
        <v>3</v>
      </c>
      <c r="E100" s="11">
        <f t="shared" si="2"/>
        <v>2.7397260273972601E-2</v>
      </c>
      <c r="F100" s="13">
        <f t="shared" si="3"/>
        <v>0.9726027397260274</v>
      </c>
    </row>
    <row r="101" spans="1:6">
      <c r="A101" s="6" t="s">
        <v>209</v>
      </c>
      <c r="B101">
        <v>6</v>
      </c>
      <c r="C101">
        <v>0</v>
      </c>
      <c r="D101">
        <v>0</v>
      </c>
      <c r="E101" s="11">
        <f t="shared" si="2"/>
        <v>0</v>
      </c>
      <c r="F101" s="13">
        <f t="shared" si="3"/>
        <v>1</v>
      </c>
    </row>
    <row r="102" spans="1:6">
      <c r="A102" s="6" t="s">
        <v>211</v>
      </c>
      <c r="B102">
        <v>12</v>
      </c>
      <c r="C102">
        <v>0</v>
      </c>
      <c r="D102">
        <v>0</v>
      </c>
      <c r="E102" s="11">
        <f t="shared" si="2"/>
        <v>0</v>
      </c>
      <c r="F102" s="13">
        <f t="shared" si="3"/>
        <v>1</v>
      </c>
    </row>
    <row r="103" spans="1:6">
      <c r="A103" s="6" t="s">
        <v>212</v>
      </c>
      <c r="B103">
        <v>12</v>
      </c>
      <c r="C103">
        <v>0</v>
      </c>
      <c r="D103">
        <v>1</v>
      </c>
      <c r="E103" s="11">
        <f t="shared" si="2"/>
        <v>8.3333333333333329E-2</v>
      </c>
      <c r="F103" s="13">
        <f t="shared" si="3"/>
        <v>0.91666666666666663</v>
      </c>
    </row>
    <row r="104" spans="1:6">
      <c r="A104" s="6" t="s">
        <v>214</v>
      </c>
      <c r="B104">
        <v>32</v>
      </c>
      <c r="C104">
        <v>0</v>
      </c>
      <c r="D104">
        <v>0</v>
      </c>
      <c r="E104" s="11">
        <f t="shared" si="2"/>
        <v>0</v>
      </c>
      <c r="F104" s="13">
        <f t="shared" si="3"/>
        <v>1</v>
      </c>
    </row>
    <row r="105" spans="1:6">
      <c r="A105" s="6" t="s">
        <v>216</v>
      </c>
      <c r="B105">
        <v>8</v>
      </c>
      <c r="C105">
        <v>0</v>
      </c>
      <c r="D105">
        <v>0</v>
      </c>
      <c r="E105" s="11">
        <f t="shared" si="2"/>
        <v>0</v>
      </c>
      <c r="F105" s="13">
        <f t="shared" si="3"/>
        <v>1</v>
      </c>
    </row>
    <row r="106" spans="1:6">
      <c r="A106" s="6" t="s">
        <v>217</v>
      </c>
      <c r="B106">
        <v>8</v>
      </c>
      <c r="C106">
        <v>0</v>
      </c>
      <c r="D106">
        <v>0</v>
      </c>
      <c r="E106" s="11">
        <f t="shared" si="2"/>
        <v>0</v>
      </c>
      <c r="F106" s="13">
        <f t="shared" si="3"/>
        <v>1</v>
      </c>
    </row>
    <row r="107" spans="1:6">
      <c r="A107" s="6" t="s">
        <v>218</v>
      </c>
      <c r="B107">
        <v>4</v>
      </c>
      <c r="C107">
        <v>0</v>
      </c>
      <c r="D107">
        <v>0</v>
      </c>
      <c r="E107" s="11">
        <f t="shared" si="2"/>
        <v>0</v>
      </c>
      <c r="F107" s="13">
        <f t="shared" si="3"/>
        <v>1</v>
      </c>
    </row>
    <row r="108" spans="1:6">
      <c r="A108" s="6" t="s">
        <v>219</v>
      </c>
      <c r="B108">
        <v>26</v>
      </c>
      <c r="C108">
        <v>0</v>
      </c>
      <c r="D108">
        <v>0</v>
      </c>
      <c r="E108" s="11">
        <f t="shared" si="2"/>
        <v>0</v>
      </c>
      <c r="F108" s="13">
        <f t="shared" si="3"/>
        <v>1</v>
      </c>
    </row>
    <row r="109" spans="1:6">
      <c r="A109" s="6" t="s">
        <v>220</v>
      </c>
      <c r="B109">
        <v>46</v>
      </c>
      <c r="C109">
        <v>0</v>
      </c>
      <c r="D109">
        <v>0</v>
      </c>
      <c r="E109" s="11">
        <f t="shared" si="2"/>
        <v>0</v>
      </c>
      <c r="F109" s="13">
        <f t="shared" si="3"/>
        <v>1</v>
      </c>
    </row>
    <row r="110" spans="1:6">
      <c r="A110" s="6" t="s">
        <v>221</v>
      </c>
      <c r="B110">
        <v>20</v>
      </c>
      <c r="C110">
        <v>0</v>
      </c>
      <c r="D110">
        <v>1</v>
      </c>
      <c r="E110" s="11">
        <f t="shared" si="2"/>
        <v>0.05</v>
      </c>
      <c r="F110" s="13">
        <f t="shared" si="3"/>
        <v>0.95</v>
      </c>
    </row>
    <row r="111" spans="1:6">
      <c r="A111" s="6" t="s">
        <v>224</v>
      </c>
      <c r="B111">
        <v>18</v>
      </c>
      <c r="C111">
        <v>0</v>
      </c>
      <c r="D111">
        <v>0</v>
      </c>
      <c r="E111" s="11">
        <f t="shared" si="2"/>
        <v>0</v>
      </c>
      <c r="F111" s="13">
        <f t="shared" si="3"/>
        <v>1</v>
      </c>
    </row>
    <row r="112" spans="1:6">
      <c r="A112" s="6" t="s">
        <v>226</v>
      </c>
      <c r="B112">
        <v>14</v>
      </c>
      <c r="C112">
        <v>0</v>
      </c>
      <c r="D112">
        <v>0</v>
      </c>
      <c r="E112" s="11">
        <f t="shared" si="2"/>
        <v>0</v>
      </c>
      <c r="F112" s="13">
        <f t="shared" si="3"/>
        <v>1</v>
      </c>
    </row>
    <row r="113" spans="1:6">
      <c r="A113" s="6" t="s">
        <v>228</v>
      </c>
      <c r="B113">
        <v>4</v>
      </c>
      <c r="C113">
        <v>2</v>
      </c>
      <c r="D113">
        <v>1</v>
      </c>
      <c r="E113" s="11">
        <f t="shared" si="2"/>
        <v>0.75</v>
      </c>
      <c r="F113" s="13">
        <f t="shared" si="3"/>
        <v>0.25</v>
      </c>
    </row>
    <row r="114" spans="1:6">
      <c r="A114" s="6" t="s">
        <v>230</v>
      </c>
      <c r="B114">
        <v>4</v>
      </c>
      <c r="C114">
        <v>2</v>
      </c>
      <c r="D114">
        <v>0</v>
      </c>
      <c r="E114" s="11">
        <f t="shared" si="2"/>
        <v>0.5</v>
      </c>
      <c r="F114" s="13">
        <f t="shared" si="3"/>
        <v>0.5</v>
      </c>
    </row>
    <row r="115" spans="1:6">
      <c r="A115" s="6" t="s">
        <v>231</v>
      </c>
      <c r="B115">
        <v>28</v>
      </c>
      <c r="C115">
        <v>0</v>
      </c>
      <c r="D115">
        <v>6</v>
      </c>
      <c r="E115" s="11">
        <f t="shared" si="2"/>
        <v>0.21428571428571427</v>
      </c>
      <c r="F115" s="13">
        <f t="shared" si="3"/>
        <v>0.7857142857142857</v>
      </c>
    </row>
    <row r="116" spans="1:6">
      <c r="A116" s="6" t="s">
        <v>234</v>
      </c>
      <c r="B116">
        <v>8</v>
      </c>
      <c r="C116">
        <v>0</v>
      </c>
      <c r="D116">
        <v>2</v>
      </c>
      <c r="E116" s="11">
        <f t="shared" si="2"/>
        <v>0.25</v>
      </c>
      <c r="F116" s="13">
        <f t="shared" si="3"/>
        <v>0.75</v>
      </c>
    </row>
    <row r="117" spans="1:6">
      <c r="A117" s="6" t="s">
        <v>235</v>
      </c>
      <c r="B117">
        <v>12</v>
      </c>
      <c r="C117">
        <v>0</v>
      </c>
      <c r="D117">
        <v>1</v>
      </c>
      <c r="E117" s="11">
        <f t="shared" si="2"/>
        <v>8.3333333333333329E-2</v>
      </c>
      <c r="F117" s="13">
        <f t="shared" si="3"/>
        <v>0.91666666666666663</v>
      </c>
    </row>
    <row r="118" spans="1:6">
      <c r="A118" s="6" t="s">
        <v>236</v>
      </c>
      <c r="B118">
        <v>10</v>
      </c>
      <c r="C118">
        <v>0</v>
      </c>
      <c r="D118">
        <v>2</v>
      </c>
      <c r="E118" s="11">
        <f t="shared" si="2"/>
        <v>0.2</v>
      </c>
      <c r="F118" s="13">
        <f t="shared" si="3"/>
        <v>0.8</v>
      </c>
    </row>
    <row r="119" spans="1:6">
      <c r="A119" s="6" t="s">
        <v>237</v>
      </c>
      <c r="B119">
        <v>24</v>
      </c>
      <c r="C119">
        <v>0</v>
      </c>
      <c r="D119">
        <v>4</v>
      </c>
      <c r="E119" s="11">
        <f t="shared" si="2"/>
        <v>0.16666666666666666</v>
      </c>
      <c r="F119" s="13">
        <f t="shared" si="3"/>
        <v>0.83333333333333337</v>
      </c>
    </row>
    <row r="120" spans="1:6">
      <c r="A120" s="6" t="s">
        <v>238</v>
      </c>
      <c r="B120">
        <v>72</v>
      </c>
      <c r="C120">
        <v>0</v>
      </c>
      <c r="D120">
        <v>15</v>
      </c>
      <c r="E120" s="11">
        <f t="shared" si="2"/>
        <v>0.20833333333333334</v>
      </c>
      <c r="F120" s="13">
        <f t="shared" si="3"/>
        <v>0.79166666666666663</v>
      </c>
    </row>
    <row r="121" spans="1:6">
      <c r="A121" s="6" t="s">
        <v>240</v>
      </c>
      <c r="B121">
        <v>32</v>
      </c>
      <c r="C121">
        <v>0</v>
      </c>
      <c r="D121">
        <v>8</v>
      </c>
      <c r="E121" s="11">
        <f t="shared" si="2"/>
        <v>0.25</v>
      </c>
      <c r="F121" s="13">
        <f t="shared" si="3"/>
        <v>0.75</v>
      </c>
    </row>
    <row r="122" spans="1:6">
      <c r="A122" s="6" t="s">
        <v>245</v>
      </c>
      <c r="B122">
        <v>6</v>
      </c>
      <c r="C122">
        <v>0</v>
      </c>
      <c r="D122">
        <v>1</v>
      </c>
      <c r="E122" s="11">
        <f t="shared" si="2"/>
        <v>0.16666666666666666</v>
      </c>
      <c r="F122" s="13">
        <f t="shared" si="3"/>
        <v>0.83333333333333337</v>
      </c>
    </row>
    <row r="123" spans="1:6">
      <c r="A123" s="6" t="s">
        <v>247</v>
      </c>
      <c r="B123">
        <v>2</v>
      </c>
      <c r="C123">
        <v>0</v>
      </c>
      <c r="D123">
        <v>0</v>
      </c>
      <c r="E123" s="11">
        <f t="shared" si="2"/>
        <v>0</v>
      </c>
      <c r="F123" s="13">
        <f t="shared" si="3"/>
        <v>1</v>
      </c>
    </row>
    <row r="124" spans="1:6">
      <c r="A124" s="6" t="s">
        <v>249</v>
      </c>
      <c r="B124">
        <v>4</v>
      </c>
      <c r="C124">
        <v>1</v>
      </c>
      <c r="D124">
        <v>1</v>
      </c>
      <c r="E124" s="11">
        <f t="shared" si="2"/>
        <v>0.5</v>
      </c>
      <c r="F124" s="13">
        <f t="shared" si="3"/>
        <v>0.5</v>
      </c>
    </row>
    <row r="125" spans="1:6">
      <c r="A125" s="6" t="s">
        <v>252</v>
      </c>
      <c r="B125">
        <v>4</v>
      </c>
      <c r="C125">
        <v>1</v>
      </c>
      <c r="D125">
        <v>0</v>
      </c>
      <c r="E125" s="11">
        <f t="shared" si="2"/>
        <v>0.25</v>
      </c>
      <c r="F125" s="13">
        <f t="shared" si="3"/>
        <v>0.75</v>
      </c>
    </row>
    <row r="126" spans="1:6">
      <c r="A126" s="6" t="s">
        <v>254</v>
      </c>
      <c r="B126">
        <v>2</v>
      </c>
      <c r="C126">
        <v>0</v>
      </c>
      <c r="D126">
        <v>1</v>
      </c>
      <c r="E126" s="11">
        <f t="shared" si="2"/>
        <v>0.5</v>
      </c>
      <c r="F126" s="13">
        <f t="shared" si="3"/>
        <v>0.5</v>
      </c>
    </row>
    <row r="127" spans="1:6">
      <c r="A127" s="6" t="s">
        <v>256</v>
      </c>
      <c r="B127">
        <v>8</v>
      </c>
      <c r="C127">
        <v>0</v>
      </c>
      <c r="D127">
        <v>0</v>
      </c>
      <c r="E127" s="11">
        <f t="shared" si="2"/>
        <v>0</v>
      </c>
      <c r="F127" s="13">
        <f t="shared" si="3"/>
        <v>1</v>
      </c>
    </row>
    <row r="128" spans="1:6">
      <c r="A128" s="6" t="s">
        <v>258</v>
      </c>
      <c r="B128">
        <v>4</v>
      </c>
      <c r="C128">
        <v>2</v>
      </c>
      <c r="D128">
        <v>1</v>
      </c>
      <c r="E128" s="11">
        <f t="shared" si="2"/>
        <v>0.75</v>
      </c>
      <c r="F128" s="13">
        <f t="shared" si="3"/>
        <v>0.25</v>
      </c>
    </row>
    <row r="129" spans="1:6">
      <c r="A129" s="6" t="s">
        <v>259</v>
      </c>
      <c r="B129">
        <v>4</v>
      </c>
      <c r="C129">
        <v>2</v>
      </c>
      <c r="D129">
        <v>0</v>
      </c>
      <c r="E129" s="11">
        <f t="shared" si="2"/>
        <v>0.5</v>
      </c>
      <c r="F129" s="13">
        <f t="shared" si="3"/>
        <v>0.5</v>
      </c>
    </row>
    <row r="130" spans="1:6">
      <c r="A130" s="6" t="s">
        <v>260</v>
      </c>
      <c r="B130">
        <v>48</v>
      </c>
      <c r="C130">
        <v>0</v>
      </c>
      <c r="D130">
        <v>6</v>
      </c>
      <c r="E130" s="11">
        <f t="shared" si="2"/>
        <v>0.125</v>
      </c>
      <c r="F130" s="13">
        <f t="shared" si="3"/>
        <v>0.875</v>
      </c>
    </row>
    <row r="131" spans="1:6">
      <c r="A131" s="6" t="s">
        <v>263</v>
      </c>
      <c r="B131">
        <v>90</v>
      </c>
      <c r="C131">
        <v>1</v>
      </c>
      <c r="D131">
        <v>1</v>
      </c>
      <c r="E131" s="11">
        <f t="shared" ref="E131:E194" si="4">(C131+D131)/B131</f>
        <v>2.2222222222222223E-2</v>
      </c>
      <c r="F131" s="13">
        <f t="shared" ref="F131:F194" si="5">100%-E131</f>
        <v>0.97777777777777775</v>
      </c>
    </row>
    <row r="132" spans="1:6">
      <c r="A132" s="6" t="s">
        <v>274</v>
      </c>
      <c r="B132">
        <v>32</v>
      </c>
      <c r="C132">
        <v>0</v>
      </c>
      <c r="D132">
        <v>0</v>
      </c>
      <c r="E132" s="11">
        <f t="shared" si="4"/>
        <v>0</v>
      </c>
      <c r="F132" s="13">
        <f t="shared" si="5"/>
        <v>1</v>
      </c>
    </row>
    <row r="133" spans="1:6">
      <c r="A133" s="6" t="s">
        <v>275</v>
      </c>
      <c r="B133">
        <v>66</v>
      </c>
      <c r="C133">
        <v>1</v>
      </c>
      <c r="D133">
        <v>5</v>
      </c>
      <c r="E133" s="11">
        <f t="shared" si="4"/>
        <v>9.0909090909090912E-2</v>
      </c>
      <c r="F133" s="13">
        <f t="shared" si="5"/>
        <v>0.90909090909090906</v>
      </c>
    </row>
    <row r="134" spans="1:6">
      <c r="A134" s="6" t="s">
        <v>276</v>
      </c>
      <c r="B134">
        <v>14</v>
      </c>
      <c r="C134">
        <v>0</v>
      </c>
      <c r="D134">
        <v>0</v>
      </c>
      <c r="E134" s="11">
        <f t="shared" si="4"/>
        <v>0</v>
      </c>
      <c r="F134" s="13">
        <f t="shared" si="5"/>
        <v>1</v>
      </c>
    </row>
    <row r="135" spans="1:6">
      <c r="A135" s="6" t="s">
        <v>277</v>
      </c>
      <c r="B135">
        <v>18</v>
      </c>
      <c r="C135">
        <v>2</v>
      </c>
      <c r="D135">
        <v>1</v>
      </c>
      <c r="E135" s="11">
        <f t="shared" si="4"/>
        <v>0.16666666666666666</v>
      </c>
      <c r="F135" s="13">
        <f t="shared" si="5"/>
        <v>0.83333333333333337</v>
      </c>
    </row>
    <row r="136" spans="1:6">
      <c r="A136" s="6" t="s">
        <v>278</v>
      </c>
      <c r="B136">
        <v>42</v>
      </c>
      <c r="C136">
        <v>0</v>
      </c>
      <c r="D136">
        <v>0</v>
      </c>
      <c r="E136" s="11">
        <f t="shared" si="4"/>
        <v>0</v>
      </c>
      <c r="F136" s="13">
        <f t="shared" si="5"/>
        <v>1</v>
      </c>
    </row>
    <row r="137" spans="1:6">
      <c r="A137" s="6" t="s">
        <v>285</v>
      </c>
      <c r="B137">
        <v>12</v>
      </c>
      <c r="C137">
        <v>0</v>
      </c>
      <c r="D137">
        <v>0</v>
      </c>
      <c r="E137" s="11">
        <f t="shared" si="4"/>
        <v>0</v>
      </c>
      <c r="F137" s="13">
        <f t="shared" si="5"/>
        <v>1</v>
      </c>
    </row>
    <row r="138" spans="1:6">
      <c r="A138" s="6" t="s">
        <v>286</v>
      </c>
      <c r="B138">
        <v>66</v>
      </c>
      <c r="C138">
        <v>1</v>
      </c>
      <c r="D138">
        <v>1</v>
      </c>
      <c r="E138" s="11">
        <f t="shared" si="4"/>
        <v>3.0303030303030304E-2</v>
      </c>
      <c r="F138" s="13">
        <f t="shared" si="5"/>
        <v>0.96969696969696972</v>
      </c>
    </row>
    <row r="139" spans="1:6">
      <c r="A139" s="6" t="s">
        <v>287</v>
      </c>
      <c r="B139">
        <v>34</v>
      </c>
      <c r="C139">
        <v>0</v>
      </c>
      <c r="D139">
        <v>0</v>
      </c>
      <c r="E139" s="11">
        <f t="shared" si="4"/>
        <v>0</v>
      </c>
      <c r="F139" s="13">
        <f t="shared" si="5"/>
        <v>1</v>
      </c>
    </row>
    <row r="140" spans="1:6">
      <c r="A140" s="6" t="s">
        <v>288</v>
      </c>
      <c r="B140">
        <v>501</v>
      </c>
      <c r="C140">
        <v>4</v>
      </c>
      <c r="D140">
        <v>33</v>
      </c>
      <c r="E140" s="11">
        <f t="shared" si="4"/>
        <v>7.3852295409181631E-2</v>
      </c>
      <c r="F140" s="13">
        <f t="shared" si="5"/>
        <v>0.92614770459081841</v>
      </c>
    </row>
    <row r="141" spans="1:6">
      <c r="A141" s="6" t="s">
        <v>290</v>
      </c>
      <c r="B141">
        <v>176</v>
      </c>
      <c r="C141">
        <v>0</v>
      </c>
      <c r="D141">
        <v>3</v>
      </c>
      <c r="E141" s="11">
        <f t="shared" si="4"/>
        <v>1.7045454545454544E-2</v>
      </c>
      <c r="F141" s="13">
        <f t="shared" si="5"/>
        <v>0.98295454545454541</v>
      </c>
    </row>
    <row r="142" spans="1:6">
      <c r="A142" s="6" t="s">
        <v>291</v>
      </c>
      <c r="B142">
        <v>80</v>
      </c>
      <c r="C142">
        <v>0</v>
      </c>
      <c r="D142">
        <v>0</v>
      </c>
      <c r="E142" s="11">
        <f t="shared" si="4"/>
        <v>0</v>
      </c>
      <c r="F142" s="13">
        <f t="shared" si="5"/>
        <v>1</v>
      </c>
    </row>
    <row r="143" spans="1:6">
      <c r="A143" s="6" t="s">
        <v>292</v>
      </c>
      <c r="B143">
        <v>112</v>
      </c>
      <c r="C143">
        <v>0</v>
      </c>
      <c r="D143">
        <v>1</v>
      </c>
      <c r="E143" s="11">
        <f t="shared" si="4"/>
        <v>8.9285714285714281E-3</v>
      </c>
      <c r="F143" s="13">
        <f t="shared" si="5"/>
        <v>0.9910714285714286</v>
      </c>
    </row>
    <row r="144" spans="1:6">
      <c r="A144" s="6" t="s">
        <v>293</v>
      </c>
      <c r="B144">
        <v>20</v>
      </c>
      <c r="C144">
        <v>0</v>
      </c>
      <c r="D144">
        <v>0</v>
      </c>
      <c r="E144" s="11">
        <f t="shared" si="4"/>
        <v>0</v>
      </c>
      <c r="F144" s="13">
        <f t="shared" si="5"/>
        <v>1</v>
      </c>
    </row>
    <row r="145" spans="1:6">
      <c r="A145" s="6" t="s">
        <v>294</v>
      </c>
      <c r="B145">
        <v>24</v>
      </c>
      <c r="C145">
        <v>0</v>
      </c>
      <c r="D145">
        <v>0</v>
      </c>
      <c r="E145" s="11">
        <f t="shared" si="4"/>
        <v>0</v>
      </c>
      <c r="F145" s="13">
        <f t="shared" si="5"/>
        <v>1</v>
      </c>
    </row>
    <row r="146" spans="1:6">
      <c r="A146" s="6" t="s">
        <v>295</v>
      </c>
      <c r="B146">
        <v>6</v>
      </c>
      <c r="C146">
        <v>0</v>
      </c>
      <c r="D146">
        <v>0</v>
      </c>
      <c r="E146" s="11">
        <f t="shared" si="4"/>
        <v>0</v>
      </c>
      <c r="F146" s="13">
        <f t="shared" si="5"/>
        <v>1</v>
      </c>
    </row>
    <row r="147" spans="1:6">
      <c r="A147" s="6" t="s">
        <v>297</v>
      </c>
      <c r="B147">
        <v>517</v>
      </c>
      <c r="C147">
        <v>3</v>
      </c>
      <c r="D147">
        <v>26</v>
      </c>
      <c r="E147" s="11">
        <f t="shared" si="4"/>
        <v>5.6092843326885883E-2</v>
      </c>
      <c r="F147" s="13">
        <f t="shared" si="5"/>
        <v>0.94390715667311409</v>
      </c>
    </row>
    <row r="148" spans="1:6">
      <c r="A148" s="6" t="s">
        <v>298</v>
      </c>
      <c r="B148">
        <v>24</v>
      </c>
      <c r="C148">
        <v>0</v>
      </c>
      <c r="D148">
        <v>1</v>
      </c>
      <c r="E148" s="11">
        <f t="shared" si="4"/>
        <v>4.1666666666666664E-2</v>
      </c>
      <c r="F148" s="13">
        <f t="shared" si="5"/>
        <v>0.95833333333333337</v>
      </c>
    </row>
    <row r="149" spans="1:6">
      <c r="A149" s="6" t="s">
        <v>299</v>
      </c>
      <c r="B149">
        <v>105</v>
      </c>
      <c r="C149">
        <v>2</v>
      </c>
      <c r="D149">
        <v>9</v>
      </c>
      <c r="E149" s="11">
        <f t="shared" si="4"/>
        <v>0.10476190476190476</v>
      </c>
      <c r="F149" s="13">
        <f t="shared" si="5"/>
        <v>0.89523809523809528</v>
      </c>
    </row>
    <row r="150" spans="1:6">
      <c r="A150" s="6" t="s">
        <v>300</v>
      </c>
      <c r="B150">
        <v>48</v>
      </c>
      <c r="C150">
        <v>0</v>
      </c>
      <c r="D150">
        <v>3</v>
      </c>
      <c r="E150" s="11">
        <f t="shared" si="4"/>
        <v>6.25E-2</v>
      </c>
      <c r="F150" s="13">
        <f t="shared" si="5"/>
        <v>0.9375</v>
      </c>
    </row>
    <row r="151" spans="1:6">
      <c r="A151" s="6" t="s">
        <v>301</v>
      </c>
      <c r="B151">
        <v>254</v>
      </c>
      <c r="C151">
        <v>0</v>
      </c>
      <c r="D151">
        <v>2</v>
      </c>
      <c r="E151" s="11">
        <f t="shared" si="4"/>
        <v>7.874015748031496E-3</v>
      </c>
      <c r="F151" s="13">
        <f t="shared" si="5"/>
        <v>0.99212598425196852</v>
      </c>
    </row>
    <row r="152" spans="1:6">
      <c r="A152" s="6" t="s">
        <v>302</v>
      </c>
      <c r="B152">
        <v>771</v>
      </c>
      <c r="C152">
        <v>14</v>
      </c>
      <c r="D152">
        <v>143</v>
      </c>
      <c r="E152" s="11">
        <f t="shared" si="4"/>
        <v>0.20363164721141375</v>
      </c>
      <c r="F152" s="13">
        <f t="shared" si="5"/>
        <v>0.79636835278858631</v>
      </c>
    </row>
    <row r="153" spans="1:6">
      <c r="A153" s="6" t="s">
        <v>304</v>
      </c>
      <c r="B153">
        <v>30</v>
      </c>
      <c r="C153">
        <v>0</v>
      </c>
      <c r="D153">
        <v>0</v>
      </c>
      <c r="E153" s="11">
        <f t="shared" si="4"/>
        <v>0</v>
      </c>
      <c r="F153" s="13">
        <f t="shared" si="5"/>
        <v>1</v>
      </c>
    </row>
    <row r="154" spans="1:6">
      <c r="A154" s="6" t="s">
        <v>305</v>
      </c>
      <c r="B154">
        <v>30</v>
      </c>
      <c r="C154">
        <v>0</v>
      </c>
      <c r="D154">
        <v>0</v>
      </c>
      <c r="E154" s="11">
        <f t="shared" si="4"/>
        <v>0</v>
      </c>
      <c r="F154" s="13">
        <f t="shared" si="5"/>
        <v>1</v>
      </c>
    </row>
    <row r="155" spans="1:6">
      <c r="A155" s="6" t="s">
        <v>306</v>
      </c>
      <c r="B155">
        <v>48</v>
      </c>
      <c r="C155">
        <v>0</v>
      </c>
      <c r="D155">
        <v>5</v>
      </c>
      <c r="E155" s="11">
        <f t="shared" si="4"/>
        <v>0.10416666666666667</v>
      </c>
      <c r="F155" s="13">
        <f t="shared" si="5"/>
        <v>0.89583333333333337</v>
      </c>
    </row>
    <row r="156" spans="1:6">
      <c r="A156" s="6" t="s">
        <v>307</v>
      </c>
      <c r="B156">
        <v>126</v>
      </c>
      <c r="C156">
        <v>1</v>
      </c>
      <c r="D156">
        <v>6</v>
      </c>
      <c r="E156" s="11">
        <f t="shared" si="4"/>
        <v>5.5555555555555552E-2</v>
      </c>
      <c r="F156" s="13">
        <f t="shared" si="5"/>
        <v>0.94444444444444442</v>
      </c>
    </row>
    <row r="157" spans="1:6">
      <c r="A157" s="6" t="s">
        <v>308</v>
      </c>
      <c r="B157">
        <v>54</v>
      </c>
      <c r="C157">
        <v>0</v>
      </c>
      <c r="D157">
        <v>1</v>
      </c>
      <c r="E157" s="11">
        <f t="shared" si="4"/>
        <v>1.8518518518518517E-2</v>
      </c>
      <c r="F157" s="13">
        <f t="shared" si="5"/>
        <v>0.98148148148148151</v>
      </c>
    </row>
    <row r="158" spans="1:6">
      <c r="A158" s="6" t="s">
        <v>309</v>
      </c>
      <c r="B158">
        <v>190</v>
      </c>
      <c r="C158">
        <v>0</v>
      </c>
      <c r="D158">
        <v>4</v>
      </c>
      <c r="E158" s="11">
        <f t="shared" si="4"/>
        <v>2.1052631578947368E-2</v>
      </c>
      <c r="F158" s="13">
        <f t="shared" si="5"/>
        <v>0.97894736842105268</v>
      </c>
    </row>
    <row r="159" spans="1:6">
      <c r="A159" s="6" t="s">
        <v>310</v>
      </c>
      <c r="B159">
        <v>200</v>
      </c>
      <c r="C159">
        <v>0</v>
      </c>
      <c r="D159">
        <v>4</v>
      </c>
      <c r="E159" s="11">
        <f t="shared" si="4"/>
        <v>0.02</v>
      </c>
      <c r="F159" s="13">
        <f t="shared" si="5"/>
        <v>0.98</v>
      </c>
    </row>
    <row r="160" spans="1:6">
      <c r="A160" s="6" t="s">
        <v>311</v>
      </c>
      <c r="B160">
        <v>38</v>
      </c>
      <c r="C160">
        <v>0</v>
      </c>
      <c r="D160">
        <v>0</v>
      </c>
      <c r="E160" s="11">
        <f t="shared" si="4"/>
        <v>0</v>
      </c>
      <c r="F160" s="13">
        <f t="shared" si="5"/>
        <v>1</v>
      </c>
    </row>
    <row r="161" spans="1:6">
      <c r="A161" s="6" t="s">
        <v>312</v>
      </c>
      <c r="B161">
        <v>90</v>
      </c>
      <c r="C161">
        <v>0</v>
      </c>
      <c r="D161">
        <v>2</v>
      </c>
      <c r="E161" s="11">
        <f t="shared" si="4"/>
        <v>2.2222222222222223E-2</v>
      </c>
      <c r="F161" s="13">
        <f t="shared" si="5"/>
        <v>0.97777777777777775</v>
      </c>
    </row>
    <row r="162" spans="1:6">
      <c r="A162" s="6" t="s">
        <v>313</v>
      </c>
      <c r="B162">
        <v>6</v>
      </c>
      <c r="C162">
        <v>0</v>
      </c>
      <c r="D162">
        <v>0</v>
      </c>
      <c r="E162" s="11">
        <f t="shared" si="4"/>
        <v>0</v>
      </c>
      <c r="F162" s="13">
        <f t="shared" si="5"/>
        <v>1</v>
      </c>
    </row>
    <row r="163" spans="1:6">
      <c r="A163" s="6" t="s">
        <v>314</v>
      </c>
      <c r="B163">
        <v>42</v>
      </c>
      <c r="C163">
        <v>0</v>
      </c>
      <c r="D163">
        <v>3</v>
      </c>
      <c r="E163" s="11">
        <f t="shared" si="4"/>
        <v>7.1428571428571425E-2</v>
      </c>
      <c r="F163" s="13">
        <f t="shared" si="5"/>
        <v>0.9285714285714286</v>
      </c>
    </row>
    <row r="164" spans="1:6">
      <c r="A164" s="6" t="s">
        <v>315</v>
      </c>
      <c r="B164">
        <v>356</v>
      </c>
      <c r="C164">
        <v>4</v>
      </c>
      <c r="D164">
        <v>36</v>
      </c>
      <c r="E164" s="11">
        <f t="shared" si="4"/>
        <v>0.11235955056179775</v>
      </c>
      <c r="F164" s="13">
        <f t="shared" si="5"/>
        <v>0.88764044943820219</v>
      </c>
    </row>
    <row r="165" spans="1:6">
      <c r="A165" s="6" t="s">
        <v>316</v>
      </c>
      <c r="B165">
        <v>638</v>
      </c>
      <c r="C165">
        <v>12</v>
      </c>
      <c r="D165">
        <v>71</v>
      </c>
      <c r="E165" s="11">
        <f t="shared" si="4"/>
        <v>0.13009404388714735</v>
      </c>
      <c r="F165" s="13">
        <f t="shared" si="5"/>
        <v>0.8699059561128526</v>
      </c>
    </row>
    <row r="166" spans="1:6">
      <c r="A166" s="6" t="s">
        <v>317</v>
      </c>
      <c r="B166">
        <v>48</v>
      </c>
      <c r="C166">
        <v>0</v>
      </c>
      <c r="D166">
        <v>0</v>
      </c>
      <c r="E166" s="11">
        <f t="shared" si="4"/>
        <v>0</v>
      </c>
      <c r="F166" s="13">
        <f t="shared" si="5"/>
        <v>1</v>
      </c>
    </row>
    <row r="167" spans="1:6">
      <c r="A167" s="6" t="s">
        <v>318</v>
      </c>
      <c r="B167">
        <v>30</v>
      </c>
      <c r="C167">
        <v>2</v>
      </c>
      <c r="D167">
        <v>0</v>
      </c>
      <c r="E167" s="11">
        <f t="shared" si="4"/>
        <v>6.6666666666666666E-2</v>
      </c>
      <c r="F167" s="13">
        <f t="shared" si="5"/>
        <v>0.93333333333333335</v>
      </c>
    </row>
    <row r="168" spans="1:6">
      <c r="A168" s="6" t="s">
        <v>319</v>
      </c>
      <c r="B168">
        <v>467</v>
      </c>
      <c r="C168">
        <v>15</v>
      </c>
      <c r="D168">
        <v>55</v>
      </c>
      <c r="E168" s="11">
        <f t="shared" si="4"/>
        <v>0.14989293361884368</v>
      </c>
      <c r="F168" s="13">
        <f t="shared" si="5"/>
        <v>0.8501070663811563</v>
      </c>
    </row>
    <row r="169" spans="1:6">
      <c r="A169" s="6" t="s">
        <v>320</v>
      </c>
      <c r="B169">
        <v>16</v>
      </c>
      <c r="C169">
        <v>0</v>
      </c>
      <c r="D169">
        <v>0</v>
      </c>
      <c r="E169" s="11">
        <f t="shared" si="4"/>
        <v>0</v>
      </c>
      <c r="F169" s="13">
        <f t="shared" si="5"/>
        <v>1</v>
      </c>
    </row>
    <row r="170" spans="1:6">
      <c r="A170" s="6" t="s">
        <v>322</v>
      </c>
      <c r="B170">
        <v>6</v>
      </c>
      <c r="C170">
        <v>0</v>
      </c>
      <c r="D170">
        <v>0</v>
      </c>
      <c r="E170" s="11">
        <f t="shared" si="4"/>
        <v>0</v>
      </c>
      <c r="F170" s="13">
        <f t="shared" si="5"/>
        <v>1</v>
      </c>
    </row>
    <row r="171" spans="1:6">
      <c r="A171" s="6" t="s">
        <v>323</v>
      </c>
      <c r="B171">
        <v>16</v>
      </c>
      <c r="C171">
        <v>0</v>
      </c>
      <c r="D171">
        <v>2</v>
      </c>
      <c r="E171" s="11">
        <f t="shared" si="4"/>
        <v>0.125</v>
      </c>
      <c r="F171" s="13">
        <f t="shared" si="5"/>
        <v>0.875</v>
      </c>
    </row>
    <row r="172" spans="1:6">
      <c r="A172" s="6" t="s">
        <v>325</v>
      </c>
      <c r="B172">
        <v>27</v>
      </c>
      <c r="C172">
        <v>0</v>
      </c>
      <c r="D172">
        <v>1</v>
      </c>
      <c r="E172" s="11">
        <f t="shared" si="4"/>
        <v>3.7037037037037035E-2</v>
      </c>
      <c r="F172" s="13">
        <f t="shared" si="5"/>
        <v>0.96296296296296302</v>
      </c>
    </row>
    <row r="173" spans="1:6">
      <c r="A173" s="6" t="s">
        <v>328</v>
      </c>
      <c r="B173">
        <v>47</v>
      </c>
      <c r="C173">
        <v>0</v>
      </c>
      <c r="D173">
        <v>1</v>
      </c>
      <c r="E173" s="11">
        <f t="shared" si="4"/>
        <v>2.1276595744680851E-2</v>
      </c>
      <c r="F173" s="13">
        <f t="shared" si="5"/>
        <v>0.97872340425531912</v>
      </c>
    </row>
    <row r="174" spans="1:6">
      <c r="A174" s="6" t="s">
        <v>329</v>
      </c>
      <c r="B174">
        <v>32</v>
      </c>
      <c r="C174">
        <v>0</v>
      </c>
      <c r="D174">
        <v>4</v>
      </c>
      <c r="E174" s="11">
        <f t="shared" si="4"/>
        <v>0.125</v>
      </c>
      <c r="F174" s="13">
        <f t="shared" si="5"/>
        <v>0.875</v>
      </c>
    </row>
    <row r="175" spans="1:6">
      <c r="A175" s="6" t="s">
        <v>331</v>
      </c>
      <c r="B175">
        <v>16</v>
      </c>
      <c r="C175">
        <v>0</v>
      </c>
      <c r="D175">
        <v>0</v>
      </c>
      <c r="E175" s="11">
        <f t="shared" si="4"/>
        <v>0</v>
      </c>
      <c r="F175" s="13">
        <f t="shared" si="5"/>
        <v>1</v>
      </c>
    </row>
    <row r="176" spans="1:6">
      <c r="A176" s="6" t="s">
        <v>334</v>
      </c>
      <c r="B176">
        <v>4</v>
      </c>
      <c r="C176">
        <v>2</v>
      </c>
      <c r="D176">
        <v>1</v>
      </c>
      <c r="E176" s="11">
        <f t="shared" si="4"/>
        <v>0.75</v>
      </c>
      <c r="F176" s="13">
        <f t="shared" si="5"/>
        <v>0.25</v>
      </c>
    </row>
    <row r="177" spans="1:6">
      <c r="A177" s="6" t="s">
        <v>335</v>
      </c>
      <c r="B177">
        <v>4</v>
      </c>
      <c r="C177">
        <v>2</v>
      </c>
      <c r="D177">
        <v>0</v>
      </c>
      <c r="E177" s="11">
        <f t="shared" si="4"/>
        <v>0.5</v>
      </c>
      <c r="F177" s="13">
        <f t="shared" si="5"/>
        <v>0.5</v>
      </c>
    </row>
    <row r="178" spans="1:6">
      <c r="A178" s="6" t="s">
        <v>336</v>
      </c>
      <c r="B178">
        <v>34</v>
      </c>
      <c r="C178">
        <v>0</v>
      </c>
      <c r="D178">
        <v>4</v>
      </c>
      <c r="E178" s="11">
        <f t="shared" si="4"/>
        <v>0.11764705882352941</v>
      </c>
      <c r="F178" s="13">
        <f t="shared" si="5"/>
        <v>0.88235294117647056</v>
      </c>
    </row>
    <row r="179" spans="1:6">
      <c r="A179" s="6" t="s">
        <v>338</v>
      </c>
      <c r="B179">
        <v>68</v>
      </c>
      <c r="C179">
        <v>0</v>
      </c>
      <c r="D179">
        <v>18</v>
      </c>
      <c r="E179" s="11">
        <f t="shared" si="4"/>
        <v>0.26470588235294118</v>
      </c>
      <c r="F179" s="13">
        <f t="shared" si="5"/>
        <v>0.73529411764705888</v>
      </c>
    </row>
    <row r="180" spans="1:6">
      <c r="A180" s="6" t="s">
        <v>341</v>
      </c>
      <c r="B180">
        <v>20</v>
      </c>
      <c r="C180">
        <v>0</v>
      </c>
      <c r="D180">
        <v>0</v>
      </c>
      <c r="E180" s="11">
        <f t="shared" si="4"/>
        <v>0</v>
      </c>
      <c r="F180" s="13">
        <f t="shared" si="5"/>
        <v>1</v>
      </c>
    </row>
    <row r="181" spans="1:6">
      <c r="A181" s="6" t="s">
        <v>343</v>
      </c>
      <c r="B181">
        <v>201</v>
      </c>
      <c r="C181">
        <v>1</v>
      </c>
      <c r="D181">
        <v>34</v>
      </c>
      <c r="E181" s="11">
        <f t="shared" si="4"/>
        <v>0.17412935323383086</v>
      </c>
      <c r="F181" s="13">
        <f t="shared" si="5"/>
        <v>0.82587064676616917</v>
      </c>
    </row>
    <row r="182" spans="1:6">
      <c r="A182" s="6" t="s">
        <v>348</v>
      </c>
      <c r="B182">
        <v>14</v>
      </c>
      <c r="C182">
        <v>0</v>
      </c>
      <c r="D182">
        <v>0</v>
      </c>
      <c r="E182" s="11">
        <f t="shared" si="4"/>
        <v>0</v>
      </c>
      <c r="F182" s="13">
        <f t="shared" si="5"/>
        <v>1</v>
      </c>
    </row>
    <row r="183" spans="1:6">
      <c r="A183" s="6" t="s">
        <v>350</v>
      </c>
      <c r="B183">
        <v>40</v>
      </c>
      <c r="C183">
        <v>0</v>
      </c>
      <c r="D183">
        <v>9</v>
      </c>
      <c r="E183" s="11">
        <f t="shared" si="4"/>
        <v>0.22500000000000001</v>
      </c>
      <c r="F183" s="13">
        <f t="shared" si="5"/>
        <v>0.77500000000000002</v>
      </c>
    </row>
    <row r="184" spans="1:6">
      <c r="A184" s="6" t="s">
        <v>355</v>
      </c>
      <c r="B184">
        <v>60</v>
      </c>
      <c r="C184">
        <v>0</v>
      </c>
      <c r="D184">
        <v>9</v>
      </c>
      <c r="E184" s="11">
        <f t="shared" si="4"/>
        <v>0.15</v>
      </c>
      <c r="F184" s="13">
        <f t="shared" si="5"/>
        <v>0.85</v>
      </c>
    </row>
    <row r="185" spans="1:6">
      <c r="A185" s="6" t="s">
        <v>358</v>
      </c>
      <c r="B185">
        <v>60</v>
      </c>
      <c r="C185">
        <v>0</v>
      </c>
      <c r="D185">
        <v>2</v>
      </c>
      <c r="E185" s="11">
        <f t="shared" si="4"/>
        <v>3.3333333333333333E-2</v>
      </c>
      <c r="F185" s="13">
        <f t="shared" si="5"/>
        <v>0.96666666666666667</v>
      </c>
    </row>
    <row r="186" spans="1:6">
      <c r="A186" s="6" t="s">
        <v>360</v>
      </c>
      <c r="B186">
        <v>30</v>
      </c>
      <c r="C186">
        <v>0</v>
      </c>
      <c r="D186">
        <v>0</v>
      </c>
      <c r="E186" s="11">
        <f t="shared" si="4"/>
        <v>0</v>
      </c>
      <c r="F186" s="13">
        <f t="shared" si="5"/>
        <v>1</v>
      </c>
    </row>
    <row r="187" spans="1:6">
      <c r="A187" s="6" t="s">
        <v>364</v>
      </c>
      <c r="B187">
        <v>18</v>
      </c>
      <c r="C187">
        <v>0</v>
      </c>
      <c r="D187">
        <v>0</v>
      </c>
      <c r="E187" s="11">
        <f t="shared" si="4"/>
        <v>0</v>
      </c>
      <c r="F187" s="13">
        <f t="shared" si="5"/>
        <v>1</v>
      </c>
    </row>
    <row r="188" spans="1:6">
      <c r="A188" s="6" t="s">
        <v>366</v>
      </c>
      <c r="B188">
        <v>44</v>
      </c>
      <c r="C188">
        <v>1</v>
      </c>
      <c r="D188">
        <v>2</v>
      </c>
      <c r="E188" s="11">
        <f t="shared" si="4"/>
        <v>6.8181818181818177E-2</v>
      </c>
      <c r="F188" s="13">
        <f t="shared" si="5"/>
        <v>0.93181818181818188</v>
      </c>
    </row>
    <row r="189" spans="1:6">
      <c r="A189" s="6" t="s">
        <v>373</v>
      </c>
      <c r="B189">
        <v>82</v>
      </c>
      <c r="C189">
        <v>0</v>
      </c>
      <c r="D189">
        <v>9</v>
      </c>
      <c r="E189" s="11">
        <f t="shared" si="4"/>
        <v>0.10975609756097561</v>
      </c>
      <c r="F189" s="13">
        <f t="shared" si="5"/>
        <v>0.8902439024390244</v>
      </c>
    </row>
    <row r="190" spans="1:6">
      <c r="A190" s="6" t="s">
        <v>374</v>
      </c>
      <c r="B190">
        <v>2</v>
      </c>
      <c r="C190">
        <v>0</v>
      </c>
      <c r="D190">
        <v>0</v>
      </c>
      <c r="E190" s="11">
        <f t="shared" si="4"/>
        <v>0</v>
      </c>
      <c r="F190" s="13">
        <f t="shared" si="5"/>
        <v>1</v>
      </c>
    </row>
    <row r="191" spans="1:6">
      <c r="A191" s="6" t="s">
        <v>376</v>
      </c>
      <c r="B191">
        <v>20</v>
      </c>
      <c r="C191">
        <v>4</v>
      </c>
      <c r="D191">
        <v>0</v>
      </c>
      <c r="E191" s="11">
        <f t="shared" si="4"/>
        <v>0.2</v>
      </c>
      <c r="F191" s="13">
        <f t="shared" si="5"/>
        <v>0.8</v>
      </c>
    </row>
    <row r="192" spans="1:6">
      <c r="A192" s="6" t="s">
        <v>378</v>
      </c>
      <c r="B192">
        <v>8</v>
      </c>
      <c r="C192">
        <v>0</v>
      </c>
      <c r="D192">
        <v>0</v>
      </c>
      <c r="E192" s="11">
        <f t="shared" si="4"/>
        <v>0</v>
      </c>
      <c r="F192" s="13">
        <f t="shared" si="5"/>
        <v>1</v>
      </c>
    </row>
    <row r="193" spans="1:6">
      <c r="A193" s="6" t="s">
        <v>380</v>
      </c>
      <c r="B193">
        <v>4</v>
      </c>
      <c r="C193">
        <v>0</v>
      </c>
      <c r="D193">
        <v>0</v>
      </c>
      <c r="E193" s="11">
        <f t="shared" si="4"/>
        <v>0</v>
      </c>
      <c r="F193" s="13">
        <f t="shared" si="5"/>
        <v>1</v>
      </c>
    </row>
    <row r="194" spans="1:6">
      <c r="A194" s="6" t="s">
        <v>381</v>
      </c>
      <c r="B194">
        <v>4</v>
      </c>
      <c r="C194">
        <v>0</v>
      </c>
      <c r="D194">
        <v>0</v>
      </c>
      <c r="E194" s="11">
        <f t="shared" si="4"/>
        <v>0</v>
      </c>
      <c r="F194" s="13">
        <f t="shared" si="5"/>
        <v>1</v>
      </c>
    </row>
    <row r="195" spans="1:6">
      <c r="A195" s="6" t="s">
        <v>383</v>
      </c>
      <c r="B195">
        <v>14</v>
      </c>
      <c r="C195">
        <v>0</v>
      </c>
      <c r="D195">
        <v>2</v>
      </c>
      <c r="E195" s="11">
        <f t="shared" ref="E195:E226" si="6">(C195+D195)/B195</f>
        <v>0.14285714285714285</v>
      </c>
      <c r="F195" s="13">
        <f t="shared" ref="F195:F226" si="7">100%-E195</f>
        <v>0.85714285714285721</v>
      </c>
    </row>
    <row r="196" spans="1:6">
      <c r="A196" s="6" t="s">
        <v>384</v>
      </c>
      <c r="B196">
        <v>6</v>
      </c>
      <c r="C196">
        <v>0</v>
      </c>
      <c r="D196">
        <v>0</v>
      </c>
      <c r="E196" s="11">
        <f t="shared" si="6"/>
        <v>0</v>
      </c>
      <c r="F196" s="13">
        <f t="shared" si="7"/>
        <v>1</v>
      </c>
    </row>
    <row r="197" spans="1:6">
      <c r="A197" s="6" t="s">
        <v>385</v>
      </c>
      <c r="B197">
        <v>30</v>
      </c>
      <c r="C197">
        <v>0</v>
      </c>
      <c r="D197">
        <v>5</v>
      </c>
      <c r="E197" s="11">
        <f t="shared" si="6"/>
        <v>0.16666666666666666</v>
      </c>
      <c r="F197" s="13">
        <f t="shared" si="7"/>
        <v>0.83333333333333337</v>
      </c>
    </row>
    <row r="198" spans="1:6">
      <c r="A198" s="6" t="s">
        <v>387</v>
      </c>
      <c r="B198">
        <v>54</v>
      </c>
      <c r="C198">
        <v>0</v>
      </c>
      <c r="D198">
        <v>8</v>
      </c>
      <c r="E198" s="11">
        <f t="shared" si="6"/>
        <v>0.14814814814814814</v>
      </c>
      <c r="F198" s="13">
        <f t="shared" si="7"/>
        <v>0.85185185185185186</v>
      </c>
    </row>
    <row r="199" spans="1:6">
      <c r="A199" s="6" t="s">
        <v>389</v>
      </c>
      <c r="B199">
        <v>48</v>
      </c>
      <c r="C199">
        <v>0</v>
      </c>
      <c r="D199">
        <v>2</v>
      </c>
      <c r="E199" s="11">
        <f t="shared" si="6"/>
        <v>4.1666666666666664E-2</v>
      </c>
      <c r="F199" s="13">
        <f t="shared" si="7"/>
        <v>0.95833333333333337</v>
      </c>
    </row>
    <row r="200" spans="1:6">
      <c r="A200" s="6" t="s">
        <v>391</v>
      </c>
      <c r="B200">
        <v>10</v>
      </c>
      <c r="C200">
        <v>0</v>
      </c>
      <c r="D200">
        <v>0</v>
      </c>
      <c r="E200" s="11">
        <f t="shared" si="6"/>
        <v>0</v>
      </c>
      <c r="F200" s="13">
        <f t="shared" si="7"/>
        <v>1</v>
      </c>
    </row>
    <row r="201" spans="1:6">
      <c r="A201" s="6" t="s">
        <v>393</v>
      </c>
      <c r="B201">
        <v>4</v>
      </c>
      <c r="C201">
        <v>0</v>
      </c>
      <c r="D201">
        <v>0</v>
      </c>
      <c r="E201" s="11">
        <f t="shared" si="6"/>
        <v>0</v>
      </c>
      <c r="F201" s="13">
        <f t="shared" si="7"/>
        <v>1</v>
      </c>
    </row>
    <row r="202" spans="1:6">
      <c r="A202" s="6" t="s">
        <v>395</v>
      </c>
      <c r="B202">
        <v>4</v>
      </c>
      <c r="C202">
        <v>1</v>
      </c>
      <c r="D202">
        <v>1</v>
      </c>
      <c r="E202" s="11">
        <f t="shared" si="6"/>
        <v>0.5</v>
      </c>
      <c r="F202" s="13">
        <f t="shared" si="7"/>
        <v>0.5</v>
      </c>
    </row>
    <row r="203" spans="1:6">
      <c r="A203" s="6" t="s">
        <v>398</v>
      </c>
      <c r="B203">
        <v>2</v>
      </c>
      <c r="C203">
        <v>1</v>
      </c>
      <c r="D203">
        <v>1</v>
      </c>
      <c r="E203" s="11">
        <f t="shared" si="6"/>
        <v>1</v>
      </c>
      <c r="F203" s="13">
        <f t="shared" si="7"/>
        <v>0</v>
      </c>
    </row>
    <row r="204" spans="1:6">
      <c r="A204" s="6" t="s">
        <v>400</v>
      </c>
      <c r="B204">
        <v>3</v>
      </c>
      <c r="C204">
        <v>1</v>
      </c>
      <c r="D204">
        <v>2</v>
      </c>
      <c r="E204" s="11">
        <f t="shared" si="6"/>
        <v>1</v>
      </c>
      <c r="F204" s="13">
        <f t="shared" si="7"/>
        <v>0</v>
      </c>
    </row>
    <row r="205" spans="1:6">
      <c r="A205" s="6" t="s">
        <v>402</v>
      </c>
      <c r="B205">
        <v>6</v>
      </c>
      <c r="C205">
        <v>3</v>
      </c>
      <c r="D205">
        <v>3</v>
      </c>
      <c r="E205" s="11">
        <f t="shared" si="6"/>
        <v>1</v>
      </c>
      <c r="F205" s="13">
        <f t="shared" si="7"/>
        <v>0</v>
      </c>
    </row>
    <row r="206" spans="1:6">
      <c r="A206" s="6" t="s">
        <v>403</v>
      </c>
      <c r="B206">
        <v>4</v>
      </c>
      <c r="C206">
        <v>0</v>
      </c>
      <c r="D206">
        <v>0</v>
      </c>
      <c r="E206" s="11">
        <f t="shared" si="6"/>
        <v>0</v>
      </c>
      <c r="F206" s="13">
        <f t="shared" si="7"/>
        <v>1</v>
      </c>
    </row>
    <row r="207" spans="1:6">
      <c r="A207" s="6" t="s">
        <v>405</v>
      </c>
      <c r="B207">
        <v>54</v>
      </c>
      <c r="C207">
        <v>4</v>
      </c>
      <c r="D207">
        <v>13</v>
      </c>
      <c r="E207" s="11">
        <f t="shared" si="6"/>
        <v>0.31481481481481483</v>
      </c>
      <c r="F207" s="13">
        <f t="shared" si="7"/>
        <v>0.68518518518518512</v>
      </c>
    </row>
    <row r="208" spans="1:6">
      <c r="A208" s="6" t="s">
        <v>409</v>
      </c>
      <c r="B208">
        <v>18</v>
      </c>
      <c r="C208">
        <v>0</v>
      </c>
      <c r="D208">
        <v>7</v>
      </c>
      <c r="E208" s="11">
        <f t="shared" si="6"/>
        <v>0.3888888888888889</v>
      </c>
      <c r="F208" s="13">
        <f t="shared" si="7"/>
        <v>0.61111111111111116</v>
      </c>
    </row>
    <row r="209" spans="1:6">
      <c r="A209" s="6" t="s">
        <v>411</v>
      </c>
      <c r="B209">
        <v>234</v>
      </c>
      <c r="C209">
        <v>10</v>
      </c>
      <c r="D209">
        <v>56</v>
      </c>
      <c r="E209" s="11">
        <f t="shared" si="6"/>
        <v>0.28205128205128205</v>
      </c>
      <c r="F209" s="13">
        <f t="shared" si="7"/>
        <v>0.71794871794871795</v>
      </c>
    </row>
    <row r="210" spans="1:6">
      <c r="A210" s="6" t="s">
        <v>415</v>
      </c>
      <c r="B210">
        <v>16</v>
      </c>
      <c r="C210">
        <v>0</v>
      </c>
      <c r="D210">
        <v>0</v>
      </c>
      <c r="E210" s="11">
        <f t="shared" si="6"/>
        <v>0</v>
      </c>
      <c r="F210" s="13">
        <f t="shared" si="7"/>
        <v>1</v>
      </c>
    </row>
    <row r="211" spans="1:6">
      <c r="A211" s="6" t="s">
        <v>417</v>
      </c>
      <c r="B211">
        <v>20</v>
      </c>
      <c r="C211">
        <v>0</v>
      </c>
      <c r="D211">
        <v>4</v>
      </c>
      <c r="E211" s="11">
        <f t="shared" si="6"/>
        <v>0.2</v>
      </c>
      <c r="F211" s="13">
        <f t="shared" si="7"/>
        <v>0.8</v>
      </c>
    </row>
    <row r="212" spans="1:6">
      <c r="A212" s="6" t="s">
        <v>419</v>
      </c>
      <c r="B212">
        <v>24</v>
      </c>
      <c r="C212">
        <v>0</v>
      </c>
      <c r="D212">
        <v>5</v>
      </c>
      <c r="E212" s="11">
        <f t="shared" si="6"/>
        <v>0.20833333333333334</v>
      </c>
      <c r="F212" s="13">
        <f t="shared" si="7"/>
        <v>0.79166666666666663</v>
      </c>
    </row>
    <row r="213" spans="1:6">
      <c r="A213" s="6" t="s">
        <v>422</v>
      </c>
      <c r="B213">
        <v>56</v>
      </c>
      <c r="C213">
        <v>0</v>
      </c>
      <c r="D213">
        <v>20</v>
      </c>
      <c r="E213" s="11">
        <f t="shared" si="6"/>
        <v>0.35714285714285715</v>
      </c>
      <c r="F213" s="13">
        <f t="shared" si="7"/>
        <v>0.64285714285714279</v>
      </c>
    </row>
    <row r="214" spans="1:6">
      <c r="A214" s="6" t="s">
        <v>425</v>
      </c>
      <c r="B214">
        <v>42</v>
      </c>
      <c r="C214">
        <v>1</v>
      </c>
      <c r="D214">
        <v>18</v>
      </c>
      <c r="E214" s="11">
        <f t="shared" si="6"/>
        <v>0.45238095238095238</v>
      </c>
      <c r="F214" s="13">
        <f t="shared" si="7"/>
        <v>0.54761904761904767</v>
      </c>
    </row>
    <row r="215" spans="1:6">
      <c r="A215" s="6" t="s">
        <v>427</v>
      </c>
      <c r="B215">
        <v>4</v>
      </c>
      <c r="C215">
        <v>0</v>
      </c>
      <c r="D215">
        <v>1</v>
      </c>
      <c r="E215" s="11">
        <f t="shared" si="6"/>
        <v>0.25</v>
      </c>
      <c r="F215" s="13">
        <f t="shared" si="7"/>
        <v>0.75</v>
      </c>
    </row>
    <row r="216" spans="1:6">
      <c r="A216" s="6" t="s">
        <v>428</v>
      </c>
      <c r="B216">
        <v>18</v>
      </c>
      <c r="C216">
        <v>0</v>
      </c>
      <c r="D216">
        <v>4</v>
      </c>
      <c r="E216" s="11">
        <f t="shared" si="6"/>
        <v>0.22222222222222221</v>
      </c>
      <c r="F216" s="13">
        <f t="shared" si="7"/>
        <v>0.77777777777777779</v>
      </c>
    </row>
    <row r="217" spans="1:6">
      <c r="A217" s="6" t="s">
        <v>432</v>
      </c>
      <c r="B217">
        <v>10</v>
      </c>
      <c r="C217">
        <v>1</v>
      </c>
      <c r="D217">
        <v>3</v>
      </c>
      <c r="E217" s="11">
        <f t="shared" si="6"/>
        <v>0.4</v>
      </c>
      <c r="F217" s="13">
        <f t="shared" si="7"/>
        <v>0.6</v>
      </c>
    </row>
    <row r="218" spans="1:6">
      <c r="A218" s="6" t="s">
        <v>433</v>
      </c>
      <c r="B218">
        <v>88</v>
      </c>
      <c r="C218">
        <v>0</v>
      </c>
      <c r="D218">
        <v>21</v>
      </c>
      <c r="E218" s="11">
        <f t="shared" si="6"/>
        <v>0.23863636363636365</v>
      </c>
      <c r="F218" s="13">
        <f t="shared" si="7"/>
        <v>0.76136363636363635</v>
      </c>
    </row>
    <row r="219" spans="1:6">
      <c r="A219" s="6" t="s">
        <v>434</v>
      </c>
      <c r="B219">
        <v>4</v>
      </c>
      <c r="C219">
        <v>0</v>
      </c>
      <c r="D219">
        <v>1</v>
      </c>
      <c r="E219" s="11">
        <f t="shared" si="6"/>
        <v>0.25</v>
      </c>
      <c r="F219" s="13">
        <f t="shared" si="7"/>
        <v>0.75</v>
      </c>
    </row>
    <row r="220" spans="1:6">
      <c r="A220" s="6" t="s">
        <v>436</v>
      </c>
      <c r="B220">
        <v>36</v>
      </c>
      <c r="C220">
        <v>2</v>
      </c>
      <c r="D220">
        <v>12</v>
      </c>
      <c r="E220" s="11">
        <f t="shared" si="6"/>
        <v>0.3888888888888889</v>
      </c>
      <c r="F220" s="13">
        <f t="shared" si="7"/>
        <v>0.61111111111111116</v>
      </c>
    </row>
    <row r="221" spans="1:6">
      <c r="A221" s="6" t="s">
        <v>437</v>
      </c>
      <c r="B221">
        <v>12</v>
      </c>
      <c r="C221">
        <v>0</v>
      </c>
      <c r="D221">
        <v>3</v>
      </c>
      <c r="E221" s="11">
        <f t="shared" si="6"/>
        <v>0.25</v>
      </c>
      <c r="F221" s="13">
        <f t="shared" si="7"/>
        <v>0.75</v>
      </c>
    </row>
    <row r="222" spans="1:6">
      <c r="A222" s="6" t="s">
        <v>438</v>
      </c>
      <c r="B222">
        <v>30</v>
      </c>
      <c r="C222">
        <v>0</v>
      </c>
      <c r="D222">
        <v>8</v>
      </c>
      <c r="E222" s="11">
        <f t="shared" si="6"/>
        <v>0.26666666666666666</v>
      </c>
      <c r="F222" s="13">
        <f t="shared" si="7"/>
        <v>0.73333333333333339</v>
      </c>
    </row>
    <row r="223" spans="1:6">
      <c r="A223" s="6" t="s">
        <v>439</v>
      </c>
      <c r="B223">
        <v>24</v>
      </c>
      <c r="C223">
        <v>0</v>
      </c>
      <c r="D223">
        <v>0</v>
      </c>
      <c r="E223" s="11">
        <f t="shared" si="6"/>
        <v>0</v>
      </c>
      <c r="F223" s="13">
        <f t="shared" si="7"/>
        <v>1</v>
      </c>
    </row>
    <row r="224" spans="1:6">
      <c r="A224" s="6" t="s">
        <v>440</v>
      </c>
      <c r="B224">
        <v>12</v>
      </c>
      <c r="C224">
        <v>0</v>
      </c>
      <c r="D224">
        <v>3</v>
      </c>
      <c r="E224" s="11">
        <f t="shared" si="6"/>
        <v>0.25</v>
      </c>
      <c r="F224" s="13">
        <f t="shared" si="7"/>
        <v>0.75</v>
      </c>
    </row>
    <row r="225" spans="1:6">
      <c r="A225" s="6" t="s">
        <v>441</v>
      </c>
      <c r="B225">
        <v>10</v>
      </c>
      <c r="C225">
        <v>0</v>
      </c>
      <c r="D225">
        <v>0</v>
      </c>
      <c r="E225" s="11">
        <f t="shared" si="6"/>
        <v>0</v>
      </c>
      <c r="F225" s="13">
        <f t="shared" si="7"/>
        <v>1</v>
      </c>
    </row>
    <row r="226" spans="1:6">
      <c r="A226" s="6" t="s">
        <v>443</v>
      </c>
      <c r="B226">
        <v>416</v>
      </c>
      <c r="C226">
        <v>0</v>
      </c>
      <c r="D226">
        <v>117</v>
      </c>
      <c r="E226" s="11">
        <f t="shared" si="6"/>
        <v>0.28125</v>
      </c>
      <c r="F226" s="13">
        <f t="shared" si="7"/>
        <v>0.71875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EC2D3-8C38-4CF7-B3FC-22F706C2B8E4}">
  <sheetPr codeName="Sheet11"/>
  <dimension ref="A1:AH227"/>
  <sheetViews>
    <sheetView zoomScale="80" zoomScaleNormal="80" workbookViewId="0">
      <selection activeCell="F9" sqref="F9"/>
    </sheetView>
  </sheetViews>
  <sheetFormatPr defaultRowHeight="12.3"/>
  <cols>
    <col min="1" max="1" width="54.44140625" style="16" bestFit="1" customWidth="1"/>
    <col min="27" max="27" width="55.27734375" bestFit="1" customWidth="1"/>
    <col min="28" max="28" width="8.5546875" bestFit="1" customWidth="1"/>
    <col min="29" max="29" width="62.83203125" bestFit="1" customWidth="1"/>
    <col min="30" max="30" width="29" bestFit="1" customWidth="1"/>
    <col min="33" max="33" width="33.71875" bestFit="1" customWidth="1"/>
    <col min="34" max="34" width="44.27734375" bestFit="1" customWidth="1"/>
  </cols>
  <sheetData>
    <row r="1" spans="1:34" ht="84">
      <c r="A1" s="28" t="s">
        <v>0</v>
      </c>
      <c r="B1" s="37" t="s">
        <v>491</v>
      </c>
      <c r="C1" s="37" t="s">
        <v>524</v>
      </c>
      <c r="D1" s="38" t="s">
        <v>554</v>
      </c>
      <c r="E1" s="38" t="s">
        <v>555</v>
      </c>
      <c r="F1" s="38" t="s">
        <v>556</v>
      </c>
      <c r="G1" s="38" t="s">
        <v>557</v>
      </c>
      <c r="H1" s="38" t="s">
        <v>558</v>
      </c>
      <c r="I1" s="38" t="s">
        <v>559</v>
      </c>
      <c r="J1" s="38" t="s">
        <v>560</v>
      </c>
      <c r="K1" s="38" t="s">
        <v>561</v>
      </c>
      <c r="L1" s="38" t="s">
        <v>562</v>
      </c>
      <c r="M1" s="38" t="s">
        <v>563</v>
      </c>
      <c r="N1" s="38" t="s">
        <v>564</v>
      </c>
      <c r="O1" s="38" t="s">
        <v>565</v>
      </c>
      <c r="P1" s="38" t="s">
        <v>566</v>
      </c>
      <c r="Q1" s="38" t="s">
        <v>567</v>
      </c>
      <c r="R1" s="37" t="s">
        <v>568</v>
      </c>
      <c r="S1" s="38" t="s">
        <v>569</v>
      </c>
      <c r="T1" s="38" t="s">
        <v>570</v>
      </c>
      <c r="U1" s="38" t="s">
        <v>571</v>
      </c>
      <c r="V1" s="38" t="s">
        <v>572</v>
      </c>
      <c r="W1" s="38" t="s">
        <v>573</v>
      </c>
      <c r="X1" s="38" t="s">
        <v>574</v>
      </c>
      <c r="Y1" s="38" t="s">
        <v>575</v>
      </c>
      <c r="Z1" s="38" t="s">
        <v>576</v>
      </c>
      <c r="AA1" s="42" t="s">
        <v>577</v>
      </c>
      <c r="AB1" s="42" t="s">
        <v>578</v>
      </c>
      <c r="AC1" s="42" t="s">
        <v>579</v>
      </c>
      <c r="AD1" s="42" t="s">
        <v>580</v>
      </c>
    </row>
    <row r="2" spans="1:34">
      <c r="A2" s="6" t="s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0</v>
      </c>
      <c r="T2">
        <v>0</v>
      </c>
      <c r="U2">
        <v>0</v>
      </c>
      <c r="V2">
        <v>1</v>
      </c>
      <c r="W2">
        <v>0</v>
      </c>
      <c r="X2">
        <v>0</v>
      </c>
      <c r="Y2">
        <v>0</v>
      </c>
      <c r="Z2">
        <v>0</v>
      </c>
      <c r="AA2" t="str">
        <f>INDEX(D$1:Q$1,MATCH(AB2,D2:Q2))</f>
        <v>Number of changes breaking (Rename Path)</v>
      </c>
      <c r="AB2">
        <f>MAX(D2:Q2)</f>
        <v>0</v>
      </c>
      <c r="AC2" s="16" t="str">
        <f>INDEX($S$1:$Z$1,MATCH(AD2,S2:Z2))</f>
        <v>Number of changes non-breaking (Rename Parameter)</v>
      </c>
      <c r="AD2">
        <f>MAX(S2:Z2)</f>
        <v>1</v>
      </c>
      <c r="AG2" s="40" t="s">
        <v>470</v>
      </c>
      <c r="AH2" s="40" t="s">
        <v>471</v>
      </c>
    </row>
    <row r="3" spans="1:34">
      <c r="A3" s="6" t="s">
        <v>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16" t="str">
        <f>INDEX(D$1:Q$1,MATCH(AB3,D3:Q3,0))</f>
        <v>Number of changes breaking (Change Type of Parameter)</v>
      </c>
      <c r="AB3" s="16">
        <f t="shared" ref="AB3:AB66" si="0">MAX(D3:Q3)</f>
        <v>0</v>
      </c>
      <c r="AC3" s="16" t="str">
        <f t="shared" ref="AC3:AC66" si="1">INDEX($S$1:$Z$1,MATCH(AD3,S3:Z3))</f>
        <v>Number of changes non-breaking (Add Path)</v>
      </c>
      <c r="AD3" s="16">
        <f t="shared" ref="AD3:AD66" si="2">MAX(S3:Z3)</f>
        <v>0</v>
      </c>
      <c r="AG3" s="41" t="s">
        <v>472</v>
      </c>
      <c r="AH3" s="10">
        <v>658</v>
      </c>
    </row>
    <row r="4" spans="1:34">
      <c r="A4" s="6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16" t="str">
        <f>INDEX(D$1:Q$1,MATCH(AB4,D4:Q4,0))</f>
        <v>Number of changes breaking (Change Type of Parameter)</v>
      </c>
      <c r="AB4" s="16">
        <f t="shared" si="0"/>
        <v>0</v>
      </c>
      <c r="AC4" s="16" t="str">
        <f t="shared" si="1"/>
        <v>Number of changes non-breaking (Add Path)</v>
      </c>
      <c r="AD4" s="16">
        <f t="shared" si="2"/>
        <v>0</v>
      </c>
    </row>
    <row r="5" spans="1:34">
      <c r="A5" s="6" t="s">
        <v>7</v>
      </c>
      <c r="B5">
        <v>70</v>
      </c>
      <c r="C5">
        <v>15</v>
      </c>
      <c r="D5">
        <v>0</v>
      </c>
      <c r="E5">
        <v>0</v>
      </c>
      <c r="F5">
        <v>0</v>
      </c>
      <c r="G5">
        <v>2</v>
      </c>
      <c r="H5">
        <v>0</v>
      </c>
      <c r="I5">
        <v>0</v>
      </c>
      <c r="J5">
        <v>0</v>
      </c>
      <c r="K5">
        <v>0</v>
      </c>
      <c r="L5">
        <v>9</v>
      </c>
      <c r="M5">
        <v>0</v>
      </c>
      <c r="N5">
        <v>4</v>
      </c>
      <c r="O5">
        <v>0</v>
      </c>
      <c r="P5">
        <v>0</v>
      </c>
      <c r="Q5">
        <v>0</v>
      </c>
      <c r="R5">
        <v>55</v>
      </c>
      <c r="S5">
        <v>0</v>
      </c>
      <c r="T5">
        <v>0</v>
      </c>
      <c r="U5">
        <v>0</v>
      </c>
      <c r="V5">
        <v>50</v>
      </c>
      <c r="W5">
        <v>5</v>
      </c>
      <c r="X5">
        <v>0</v>
      </c>
      <c r="Y5">
        <v>0</v>
      </c>
      <c r="Z5">
        <v>0</v>
      </c>
      <c r="AA5" s="16" t="str">
        <f>INDEX(D$1:Q$1,MATCH(AB5,D5:Q5,0))</f>
        <v>Number of changes breaking (Modify Content Type Consume)</v>
      </c>
      <c r="AB5" s="16">
        <f t="shared" si="0"/>
        <v>9</v>
      </c>
      <c r="AC5" s="16" t="str">
        <f t="shared" si="1"/>
        <v>Number of changes non-breaking (Rename Parameter)</v>
      </c>
      <c r="AD5" s="16">
        <f t="shared" si="2"/>
        <v>50</v>
      </c>
      <c r="AG5" s="40" t="s">
        <v>473</v>
      </c>
      <c r="AH5" s="40" t="s">
        <v>471</v>
      </c>
    </row>
    <row r="6" spans="1:34">
      <c r="A6" s="6" t="s">
        <v>10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16" t="str">
        <f t="shared" ref="AA6:AA69" si="3">INDEX(D$1:Q$1,MATCH(AB6,D6:Q6,0))</f>
        <v>Number of changes breaking (Change Type of Parameter)</v>
      </c>
      <c r="AB6" s="16">
        <f t="shared" si="0"/>
        <v>0</v>
      </c>
      <c r="AC6" s="16" t="str">
        <f t="shared" si="1"/>
        <v>Number of changes non-breaking (Add Path)</v>
      </c>
      <c r="AD6" s="16">
        <f t="shared" si="2"/>
        <v>0</v>
      </c>
      <c r="AG6" s="41" t="s">
        <v>474</v>
      </c>
      <c r="AH6" s="10">
        <v>1473</v>
      </c>
    </row>
    <row r="7" spans="1:34">
      <c r="A7" s="6" t="s">
        <v>11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16" t="str">
        <f t="shared" si="3"/>
        <v>Number of changes breaking (Change Type of Parameter)</v>
      </c>
      <c r="AB7" s="16">
        <f t="shared" si="0"/>
        <v>0</v>
      </c>
      <c r="AC7" s="16" t="str">
        <f t="shared" si="1"/>
        <v>Number of changes non-breaking (Add Path)</v>
      </c>
      <c r="AD7" s="16">
        <f t="shared" si="2"/>
        <v>0</v>
      </c>
    </row>
    <row r="8" spans="1:34">
      <c r="A8" s="6" t="s">
        <v>12</v>
      </c>
      <c r="B8">
        <v>8</v>
      </c>
      <c r="C8">
        <v>5</v>
      </c>
      <c r="D8">
        <v>0</v>
      </c>
      <c r="E8">
        <v>0</v>
      </c>
      <c r="F8">
        <v>0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3</v>
      </c>
      <c r="S8">
        <v>0</v>
      </c>
      <c r="T8">
        <v>0</v>
      </c>
      <c r="U8">
        <v>0</v>
      </c>
      <c r="V8">
        <v>1</v>
      </c>
      <c r="W8">
        <v>2</v>
      </c>
      <c r="X8">
        <v>0</v>
      </c>
      <c r="Y8">
        <v>0</v>
      </c>
      <c r="Z8">
        <v>0</v>
      </c>
      <c r="AA8" s="16" t="str">
        <f t="shared" si="3"/>
        <v>Number of changes breaking (Increase Number of Parameters)</v>
      </c>
      <c r="AB8" s="16">
        <f t="shared" si="0"/>
        <v>5</v>
      </c>
      <c r="AC8" s="16" t="str">
        <f t="shared" si="1"/>
        <v>Number of changes non-breaking (Add Path)</v>
      </c>
      <c r="AD8" s="16">
        <f t="shared" si="2"/>
        <v>2</v>
      </c>
    </row>
    <row r="9" spans="1:34">
      <c r="A9" s="6" t="s">
        <v>13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7</v>
      </c>
      <c r="S9">
        <v>0</v>
      </c>
      <c r="T9">
        <v>0</v>
      </c>
      <c r="U9">
        <v>0</v>
      </c>
      <c r="V9">
        <v>7</v>
      </c>
      <c r="W9">
        <v>0</v>
      </c>
      <c r="X9">
        <v>0</v>
      </c>
      <c r="Y9">
        <v>0</v>
      </c>
      <c r="Z9">
        <v>0</v>
      </c>
      <c r="AA9" s="16" t="str">
        <f t="shared" si="3"/>
        <v>Number of changes breaking (Change Type of Parameter)</v>
      </c>
      <c r="AB9" s="16">
        <f t="shared" si="0"/>
        <v>0</v>
      </c>
      <c r="AC9" s="16" t="str">
        <f t="shared" si="1"/>
        <v>Number of changes non-breaking (Rename Parameter)</v>
      </c>
      <c r="AD9" s="16">
        <f t="shared" si="2"/>
        <v>7</v>
      </c>
      <c r="AG9" s="43" t="s">
        <v>475</v>
      </c>
      <c r="AH9" s="43" t="s">
        <v>476</v>
      </c>
    </row>
    <row r="10" spans="1:34">
      <c r="A10" s="6" t="s">
        <v>14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16" t="str">
        <f t="shared" si="3"/>
        <v>Number of changes breaking (Change Type of Parameter)</v>
      </c>
      <c r="AB10" s="16">
        <f t="shared" si="0"/>
        <v>0</v>
      </c>
      <c r="AC10" s="16" t="str">
        <f t="shared" si="1"/>
        <v>Number of changes non-breaking (Add Path)</v>
      </c>
      <c r="AD10" s="16">
        <f t="shared" si="2"/>
        <v>0</v>
      </c>
      <c r="AG10" s="10" t="s">
        <v>477</v>
      </c>
      <c r="AH10" s="10">
        <v>1</v>
      </c>
    </row>
    <row r="11" spans="1:34">
      <c r="A11" s="6" t="s">
        <v>15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9</v>
      </c>
      <c r="S11">
        <v>0</v>
      </c>
      <c r="T11">
        <v>0</v>
      </c>
      <c r="U11">
        <v>0</v>
      </c>
      <c r="V11">
        <v>6</v>
      </c>
      <c r="W11">
        <v>3</v>
      </c>
      <c r="X11">
        <v>0</v>
      </c>
      <c r="Y11">
        <v>0</v>
      </c>
      <c r="Z11">
        <v>0</v>
      </c>
      <c r="AA11" s="16" t="str">
        <f t="shared" si="3"/>
        <v>Number of changes breaking (Change Type of Parameter)</v>
      </c>
      <c r="AB11" s="16">
        <f t="shared" si="0"/>
        <v>0</v>
      </c>
      <c r="AC11" s="16" t="str">
        <f t="shared" si="1"/>
        <v>Number of changes non-breaking (Rename Parameter)</v>
      </c>
      <c r="AD11" s="16">
        <f t="shared" si="2"/>
        <v>6</v>
      </c>
      <c r="AG11" s="10" t="s">
        <v>478</v>
      </c>
      <c r="AH11" s="10">
        <v>27</v>
      </c>
    </row>
    <row r="12" spans="1:34">
      <c r="A12" s="6" t="s">
        <v>18</v>
      </c>
      <c r="B12">
        <v>89</v>
      </c>
      <c r="C12">
        <v>43</v>
      </c>
      <c r="D12">
        <v>0</v>
      </c>
      <c r="E12">
        <v>0</v>
      </c>
      <c r="F12">
        <v>0</v>
      </c>
      <c r="G12">
        <v>7</v>
      </c>
      <c r="H12">
        <v>0</v>
      </c>
      <c r="I12">
        <v>4</v>
      </c>
      <c r="J12">
        <v>17</v>
      </c>
      <c r="K12">
        <v>0</v>
      </c>
      <c r="L12">
        <v>0</v>
      </c>
      <c r="M12">
        <v>0</v>
      </c>
      <c r="N12">
        <v>15</v>
      </c>
      <c r="O12">
        <v>0</v>
      </c>
      <c r="P12">
        <v>0</v>
      </c>
      <c r="Q12">
        <v>0</v>
      </c>
      <c r="R12">
        <v>61</v>
      </c>
      <c r="S12">
        <v>0</v>
      </c>
      <c r="T12">
        <v>0</v>
      </c>
      <c r="U12">
        <v>0</v>
      </c>
      <c r="V12">
        <v>33</v>
      </c>
      <c r="W12">
        <v>13</v>
      </c>
      <c r="X12">
        <v>0</v>
      </c>
      <c r="Y12">
        <v>0</v>
      </c>
      <c r="Z12">
        <v>0</v>
      </c>
      <c r="AA12" s="16" t="str">
        <f t="shared" si="3"/>
        <v>Number of changes breaking (Decrease Number of Parameters)</v>
      </c>
      <c r="AB12" s="16">
        <f t="shared" si="0"/>
        <v>17</v>
      </c>
      <c r="AC12" s="16" t="str">
        <f t="shared" si="1"/>
        <v>Number of changes non-breaking (Rename Parameter)</v>
      </c>
      <c r="AD12" s="16">
        <f t="shared" si="2"/>
        <v>33</v>
      </c>
      <c r="AG12" s="10" t="s">
        <v>472</v>
      </c>
      <c r="AH12" s="10">
        <v>36</v>
      </c>
    </row>
    <row r="13" spans="1:34">
      <c r="A13" s="6" t="s">
        <v>20</v>
      </c>
      <c r="B13">
        <v>17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17</v>
      </c>
      <c r="S13">
        <v>0</v>
      </c>
      <c r="T13">
        <v>0</v>
      </c>
      <c r="U13">
        <v>0</v>
      </c>
      <c r="V13">
        <v>14</v>
      </c>
      <c r="W13">
        <v>3</v>
      </c>
      <c r="X13">
        <v>0</v>
      </c>
      <c r="Y13">
        <v>0</v>
      </c>
      <c r="Z13">
        <v>0</v>
      </c>
      <c r="AA13" s="16" t="str">
        <f t="shared" si="3"/>
        <v>Number of changes breaking (Change Type of Parameter)</v>
      </c>
      <c r="AB13" s="16">
        <f t="shared" si="0"/>
        <v>0</v>
      </c>
      <c r="AC13" s="16" t="str">
        <f t="shared" si="1"/>
        <v>Number of changes non-breaking (Rename Parameter)</v>
      </c>
      <c r="AD13" s="16">
        <f t="shared" si="2"/>
        <v>14</v>
      </c>
      <c r="AG13" s="10" t="s">
        <v>479</v>
      </c>
      <c r="AH13" s="10">
        <v>2</v>
      </c>
    </row>
    <row r="14" spans="1:34">
      <c r="A14" s="6" t="s">
        <v>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16" t="str">
        <f t="shared" si="3"/>
        <v>Number of changes breaking (Change Type of Parameter)</v>
      </c>
      <c r="AB14" s="16">
        <f t="shared" si="0"/>
        <v>0</v>
      </c>
      <c r="AC14" s="16" t="str">
        <f t="shared" si="1"/>
        <v>Number of changes non-breaking (Add Path)</v>
      </c>
      <c r="AD14" s="16">
        <f t="shared" si="2"/>
        <v>0</v>
      </c>
      <c r="AG14" s="10" t="s">
        <v>480</v>
      </c>
      <c r="AH14" s="10">
        <v>6</v>
      </c>
    </row>
    <row r="15" spans="1:34">
      <c r="A15" s="6" t="s">
        <v>22</v>
      </c>
      <c r="B15">
        <v>2</v>
      </c>
      <c r="C15">
        <v>1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 s="16" t="str">
        <f t="shared" si="3"/>
        <v>Number of changes breaking (Increase Number of Parameters)</v>
      </c>
      <c r="AB15" s="16">
        <f t="shared" si="0"/>
        <v>1</v>
      </c>
      <c r="AC15" s="16" t="str">
        <f t="shared" si="1"/>
        <v>Number of changes non-breaking (Rename Parameter)</v>
      </c>
      <c r="AD15" s="16">
        <f t="shared" si="2"/>
        <v>1</v>
      </c>
    </row>
    <row r="16" spans="1:34">
      <c r="A16" s="6" t="s">
        <v>23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14</v>
      </c>
      <c r="S16">
        <v>0</v>
      </c>
      <c r="T16">
        <v>0</v>
      </c>
      <c r="U16">
        <v>0</v>
      </c>
      <c r="V16">
        <v>14</v>
      </c>
      <c r="W16">
        <v>0</v>
      </c>
      <c r="X16">
        <v>0</v>
      </c>
      <c r="Y16">
        <v>0</v>
      </c>
      <c r="Z16">
        <v>0</v>
      </c>
      <c r="AA16" s="16" t="str">
        <f t="shared" si="3"/>
        <v>Number of changes breaking (Change Type of Parameter)</v>
      </c>
      <c r="AB16" s="16">
        <f t="shared" si="0"/>
        <v>0</v>
      </c>
      <c r="AC16" s="16" t="str">
        <f t="shared" si="1"/>
        <v>Number of changes non-breaking (Rename Parameter)</v>
      </c>
      <c r="AD16" s="16">
        <f t="shared" si="2"/>
        <v>14</v>
      </c>
      <c r="AG16" s="43" t="s">
        <v>481</v>
      </c>
      <c r="AH16" s="43" t="s">
        <v>476</v>
      </c>
    </row>
    <row r="17" spans="1:34">
      <c r="A17" s="6" t="s">
        <v>24</v>
      </c>
      <c r="B17">
        <v>8</v>
      </c>
      <c r="C17">
        <v>5</v>
      </c>
      <c r="D17">
        <v>0</v>
      </c>
      <c r="E17">
        <v>0</v>
      </c>
      <c r="F17">
        <v>0</v>
      </c>
      <c r="G17">
        <v>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3</v>
      </c>
      <c r="S17">
        <v>0</v>
      </c>
      <c r="T17">
        <v>0</v>
      </c>
      <c r="U17">
        <v>0</v>
      </c>
      <c r="V17">
        <v>1</v>
      </c>
      <c r="W17">
        <v>2</v>
      </c>
      <c r="X17">
        <v>0</v>
      </c>
      <c r="Y17">
        <v>0</v>
      </c>
      <c r="Z17">
        <v>0</v>
      </c>
      <c r="AA17" s="16" t="str">
        <f t="shared" si="3"/>
        <v>Number of changes breaking (Increase Number of Parameters)</v>
      </c>
      <c r="AB17" s="16">
        <f t="shared" si="0"/>
        <v>5</v>
      </c>
      <c r="AC17" s="16" t="str">
        <f t="shared" si="1"/>
        <v>Number of changes non-breaking (Add Path)</v>
      </c>
      <c r="AD17" s="16">
        <f t="shared" si="2"/>
        <v>2</v>
      </c>
      <c r="AG17" s="10" t="s">
        <v>482</v>
      </c>
      <c r="AH17" s="10">
        <v>42</v>
      </c>
    </row>
    <row r="18" spans="1:34">
      <c r="A18" s="6" t="s">
        <v>25</v>
      </c>
      <c r="B18">
        <v>9</v>
      </c>
      <c r="C18">
        <v>5</v>
      </c>
      <c r="D18">
        <v>0</v>
      </c>
      <c r="E18">
        <v>0</v>
      </c>
      <c r="F18">
        <v>0</v>
      </c>
      <c r="G18">
        <v>5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4</v>
      </c>
      <c r="S18">
        <v>0</v>
      </c>
      <c r="T18">
        <v>0</v>
      </c>
      <c r="U18">
        <v>0</v>
      </c>
      <c r="V18">
        <v>2</v>
      </c>
      <c r="W18">
        <v>2</v>
      </c>
      <c r="X18">
        <v>0</v>
      </c>
      <c r="Y18">
        <v>0</v>
      </c>
      <c r="Z18">
        <v>0</v>
      </c>
      <c r="AA18" s="16" t="str">
        <f t="shared" si="3"/>
        <v>Number of changes breaking (Increase Number of Parameters)</v>
      </c>
      <c r="AB18" s="16">
        <f t="shared" si="0"/>
        <v>5</v>
      </c>
      <c r="AC18" s="16" t="str">
        <f t="shared" si="1"/>
        <v>Number of changes non-breaking (Add Status Code)</v>
      </c>
      <c r="AD18" s="16">
        <f t="shared" si="2"/>
        <v>2</v>
      </c>
      <c r="AG18" s="10" t="s">
        <v>483</v>
      </c>
      <c r="AH18" s="10">
        <v>4</v>
      </c>
    </row>
    <row r="19" spans="1:34">
      <c r="A19" s="6" t="s">
        <v>26</v>
      </c>
      <c r="B19">
        <v>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 s="16" t="str">
        <f t="shared" si="3"/>
        <v>Number of changes breaking (Change Type of Parameter)</v>
      </c>
      <c r="AB19" s="16">
        <f t="shared" si="0"/>
        <v>0</v>
      </c>
      <c r="AC19" s="16" t="str">
        <f t="shared" si="1"/>
        <v>Number of changes non-breaking (Rename Parameter)</v>
      </c>
      <c r="AD19" s="16">
        <f t="shared" si="2"/>
        <v>1</v>
      </c>
      <c r="AG19" s="10" t="s">
        <v>484</v>
      </c>
      <c r="AH19" s="10">
        <v>1</v>
      </c>
    </row>
    <row r="20" spans="1:34">
      <c r="A20" s="6" t="s">
        <v>27</v>
      </c>
      <c r="B20">
        <v>5</v>
      </c>
      <c r="C20">
        <v>3</v>
      </c>
      <c r="D20">
        <v>0</v>
      </c>
      <c r="E20">
        <v>0</v>
      </c>
      <c r="F20">
        <v>0</v>
      </c>
      <c r="G20">
        <v>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</v>
      </c>
      <c r="S20">
        <v>0</v>
      </c>
      <c r="T20">
        <v>0</v>
      </c>
      <c r="U20">
        <v>0</v>
      </c>
      <c r="V20">
        <v>0</v>
      </c>
      <c r="W20">
        <v>2</v>
      </c>
      <c r="X20">
        <v>0</v>
      </c>
      <c r="Y20">
        <v>0</v>
      </c>
      <c r="Z20">
        <v>0</v>
      </c>
      <c r="AA20" s="16" t="str">
        <f t="shared" si="3"/>
        <v>Number of changes breaking (Increase Number of Parameters)</v>
      </c>
      <c r="AB20" s="16">
        <f t="shared" si="0"/>
        <v>3</v>
      </c>
      <c r="AC20" s="16" t="str">
        <f t="shared" si="1"/>
        <v>Number of changes non-breaking (Add Path)</v>
      </c>
      <c r="AD20" s="16">
        <f t="shared" si="2"/>
        <v>2</v>
      </c>
      <c r="AG20" s="10" t="s">
        <v>485</v>
      </c>
      <c r="AH20" s="10">
        <v>98</v>
      </c>
    </row>
    <row r="21" spans="1:34">
      <c r="A21" s="6" t="s">
        <v>28</v>
      </c>
      <c r="B21">
        <v>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5</v>
      </c>
      <c r="S21">
        <v>0</v>
      </c>
      <c r="T21">
        <v>0</v>
      </c>
      <c r="U21">
        <v>0</v>
      </c>
      <c r="V21">
        <v>3</v>
      </c>
      <c r="W21">
        <v>2</v>
      </c>
      <c r="X21">
        <v>0</v>
      </c>
      <c r="Y21">
        <v>0</v>
      </c>
      <c r="Z21">
        <v>0</v>
      </c>
      <c r="AA21" s="16" t="str">
        <f t="shared" si="3"/>
        <v>Number of changes breaking (Change Type of Parameter)</v>
      </c>
      <c r="AB21" s="16">
        <f t="shared" si="0"/>
        <v>0</v>
      </c>
      <c r="AC21" s="16" t="str">
        <f t="shared" si="1"/>
        <v>Number of changes non-breaking (Rename Parameter)</v>
      </c>
      <c r="AD21" s="16">
        <f t="shared" si="2"/>
        <v>3</v>
      </c>
    </row>
    <row r="22" spans="1:34">
      <c r="A22" s="6" t="s">
        <v>29</v>
      </c>
      <c r="B22">
        <v>8</v>
      </c>
      <c r="C22">
        <v>5</v>
      </c>
      <c r="D22">
        <v>0</v>
      </c>
      <c r="E22">
        <v>0</v>
      </c>
      <c r="F22">
        <v>0</v>
      </c>
      <c r="G22">
        <v>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3</v>
      </c>
      <c r="S22">
        <v>0</v>
      </c>
      <c r="T22">
        <v>0</v>
      </c>
      <c r="U22">
        <v>0</v>
      </c>
      <c r="V22">
        <v>1</v>
      </c>
      <c r="W22">
        <v>2</v>
      </c>
      <c r="X22">
        <v>0</v>
      </c>
      <c r="Y22">
        <v>0</v>
      </c>
      <c r="Z22">
        <v>0</v>
      </c>
      <c r="AA22" s="16" t="str">
        <f t="shared" si="3"/>
        <v>Number of changes breaking (Increase Number of Parameters)</v>
      </c>
      <c r="AB22" s="16">
        <f t="shared" si="0"/>
        <v>5</v>
      </c>
      <c r="AC22" s="16" t="str">
        <f t="shared" si="1"/>
        <v>Number of changes non-breaking (Add Path)</v>
      </c>
      <c r="AD22" s="16">
        <f t="shared" si="2"/>
        <v>2</v>
      </c>
    </row>
    <row r="23" spans="1:34">
      <c r="A23" s="6" t="s">
        <v>30</v>
      </c>
      <c r="B23">
        <v>1</v>
      </c>
      <c r="C23">
        <v>1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s="16" t="str">
        <f t="shared" si="3"/>
        <v>Number of changes breaking (Increase Number of Parameters)</v>
      </c>
      <c r="AB23" s="16">
        <f t="shared" si="0"/>
        <v>1</v>
      </c>
      <c r="AC23" s="16" t="str">
        <f t="shared" si="1"/>
        <v>Number of changes non-breaking (Add Path)</v>
      </c>
      <c r="AD23" s="16">
        <f t="shared" si="2"/>
        <v>0</v>
      </c>
    </row>
    <row r="24" spans="1:34">
      <c r="A24" s="6" t="s">
        <v>31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s="16" t="str">
        <f t="shared" si="3"/>
        <v>Number of changes breaking (Change Type of Parameter)</v>
      </c>
      <c r="AB24" s="16">
        <f t="shared" si="0"/>
        <v>0</v>
      </c>
      <c r="AC24" s="16" t="str">
        <f t="shared" si="1"/>
        <v>Number of changes non-breaking (Add Path)</v>
      </c>
      <c r="AD24" s="16">
        <f t="shared" si="2"/>
        <v>0</v>
      </c>
    </row>
    <row r="25" spans="1:34">
      <c r="A25" s="6" t="s">
        <v>32</v>
      </c>
      <c r="B25">
        <v>25</v>
      </c>
      <c r="C25">
        <v>1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24</v>
      </c>
      <c r="S25">
        <v>0</v>
      </c>
      <c r="T25">
        <v>0</v>
      </c>
      <c r="U25">
        <v>0</v>
      </c>
      <c r="V25">
        <v>24</v>
      </c>
      <c r="W25">
        <v>0</v>
      </c>
      <c r="X25">
        <v>0</v>
      </c>
      <c r="Y25">
        <v>0</v>
      </c>
      <c r="Z25">
        <v>0</v>
      </c>
      <c r="AA25" s="16" t="str">
        <f t="shared" si="3"/>
        <v>Number of changes breaking (Increase Number of Parameters)</v>
      </c>
      <c r="AB25" s="16">
        <f t="shared" si="0"/>
        <v>1</v>
      </c>
      <c r="AC25" s="16" t="str">
        <f t="shared" si="1"/>
        <v>Number of changes non-breaking (Rename Parameter)</v>
      </c>
      <c r="AD25" s="16">
        <f t="shared" si="2"/>
        <v>24</v>
      </c>
    </row>
    <row r="26" spans="1:34">
      <c r="A26" s="6" t="s">
        <v>33</v>
      </c>
      <c r="B26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 s="16" t="str">
        <f t="shared" si="3"/>
        <v>Number of changes breaking (Change Type of Parameter)</v>
      </c>
      <c r="AB26" s="16">
        <f t="shared" si="0"/>
        <v>0</v>
      </c>
      <c r="AC26" s="16" t="str">
        <f t="shared" si="1"/>
        <v>Number of changes non-breaking (Rename Parameter)</v>
      </c>
      <c r="AD26" s="16">
        <f t="shared" si="2"/>
        <v>1</v>
      </c>
    </row>
    <row r="27" spans="1:34">
      <c r="A27" s="6" t="s">
        <v>34</v>
      </c>
      <c r="B27">
        <v>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 s="16" t="str">
        <f t="shared" si="3"/>
        <v>Number of changes breaking (Change Type of Parameter)</v>
      </c>
      <c r="AB27" s="16">
        <f t="shared" si="0"/>
        <v>0</v>
      </c>
      <c r="AC27" s="16" t="str">
        <f t="shared" si="1"/>
        <v>Number of changes non-breaking (Rename Parameter)</v>
      </c>
      <c r="AD27" s="16">
        <f t="shared" si="2"/>
        <v>1</v>
      </c>
    </row>
    <row r="28" spans="1:34">
      <c r="A28" s="6" t="s">
        <v>35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s="16" t="str">
        <f t="shared" si="3"/>
        <v>Number of changes breaking (Change Type of Parameter)</v>
      </c>
      <c r="AB28" s="16">
        <f t="shared" si="0"/>
        <v>0</v>
      </c>
      <c r="AC28" s="16" t="str">
        <f t="shared" si="1"/>
        <v>Number of changes non-breaking (Add Path)</v>
      </c>
      <c r="AD28" s="16">
        <f t="shared" si="2"/>
        <v>0</v>
      </c>
    </row>
    <row r="29" spans="1:34">
      <c r="A29" s="6" t="s">
        <v>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s="16" t="str">
        <f t="shared" si="3"/>
        <v>Number of changes breaking (Change Type of Parameter)</v>
      </c>
      <c r="AB29" s="16">
        <f t="shared" si="0"/>
        <v>0</v>
      </c>
      <c r="AC29" s="16" t="str">
        <f t="shared" si="1"/>
        <v>Number of changes non-breaking (Add Path)</v>
      </c>
      <c r="AD29" s="16">
        <f t="shared" si="2"/>
        <v>0</v>
      </c>
    </row>
    <row r="30" spans="1:34">
      <c r="A30" s="6" t="s">
        <v>37</v>
      </c>
      <c r="B30">
        <v>148</v>
      </c>
      <c r="C30">
        <v>138</v>
      </c>
      <c r="D30">
        <v>0</v>
      </c>
      <c r="E30">
        <v>0</v>
      </c>
      <c r="F30">
        <v>0</v>
      </c>
      <c r="G30">
        <v>91</v>
      </c>
      <c r="H30">
        <v>0</v>
      </c>
      <c r="I30">
        <v>9</v>
      </c>
      <c r="J30">
        <v>37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10</v>
      </c>
      <c r="S30">
        <v>0</v>
      </c>
      <c r="T30">
        <v>0</v>
      </c>
      <c r="U30">
        <v>0</v>
      </c>
      <c r="V30">
        <v>2</v>
      </c>
      <c r="W30">
        <v>8</v>
      </c>
      <c r="X30">
        <v>0</v>
      </c>
      <c r="Y30">
        <v>0</v>
      </c>
      <c r="Z30">
        <v>0</v>
      </c>
      <c r="AA30" s="16" t="str">
        <f t="shared" si="3"/>
        <v>Number of changes breaking (Increase Number of Parameters)</v>
      </c>
      <c r="AB30" s="16">
        <f t="shared" si="0"/>
        <v>91</v>
      </c>
      <c r="AC30" s="16" t="str">
        <f t="shared" si="1"/>
        <v>Number of changes non-breaking (Add Path)</v>
      </c>
      <c r="AD30" s="16">
        <f t="shared" si="2"/>
        <v>8</v>
      </c>
    </row>
    <row r="31" spans="1:34">
      <c r="A31" s="6" t="s">
        <v>38</v>
      </c>
      <c r="B31">
        <v>13</v>
      </c>
      <c r="C31">
        <v>10</v>
      </c>
      <c r="D31">
        <v>0</v>
      </c>
      <c r="E31">
        <v>0</v>
      </c>
      <c r="F31">
        <v>0</v>
      </c>
      <c r="G31">
        <v>7</v>
      </c>
      <c r="H31">
        <v>0</v>
      </c>
      <c r="I31">
        <v>1</v>
      </c>
      <c r="J31">
        <v>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3</v>
      </c>
      <c r="S31">
        <v>0</v>
      </c>
      <c r="T31">
        <v>0</v>
      </c>
      <c r="U31">
        <v>0</v>
      </c>
      <c r="V31">
        <v>1</v>
      </c>
      <c r="W31">
        <v>2</v>
      </c>
      <c r="X31">
        <v>0</v>
      </c>
      <c r="Y31">
        <v>0</v>
      </c>
      <c r="Z31">
        <v>0</v>
      </c>
      <c r="AA31" s="16" t="str">
        <f t="shared" si="3"/>
        <v>Number of changes breaking (Increase Number of Parameters)</v>
      </c>
      <c r="AB31" s="16">
        <f t="shared" si="0"/>
        <v>7</v>
      </c>
      <c r="AC31" s="16" t="str">
        <f t="shared" si="1"/>
        <v>Number of changes non-breaking (Add Path)</v>
      </c>
      <c r="AD31" s="16">
        <f t="shared" si="2"/>
        <v>2</v>
      </c>
    </row>
    <row r="32" spans="1:34">
      <c r="A32" s="6" t="s">
        <v>39</v>
      </c>
      <c r="B32">
        <v>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3</v>
      </c>
      <c r="S32">
        <v>0</v>
      </c>
      <c r="T32">
        <v>0</v>
      </c>
      <c r="U32">
        <v>0</v>
      </c>
      <c r="V32">
        <v>2</v>
      </c>
      <c r="W32">
        <v>1</v>
      </c>
      <c r="X32">
        <v>0</v>
      </c>
      <c r="Y32">
        <v>0</v>
      </c>
      <c r="Z32">
        <v>0</v>
      </c>
      <c r="AA32" s="16" t="str">
        <f t="shared" si="3"/>
        <v>Number of changes breaking (Change Type of Parameter)</v>
      </c>
      <c r="AB32" s="16">
        <f t="shared" si="0"/>
        <v>0</v>
      </c>
      <c r="AC32" s="16" t="str">
        <f t="shared" si="1"/>
        <v>Number of changes non-breaking (Rename Parameter)</v>
      </c>
      <c r="AD32" s="16">
        <f t="shared" si="2"/>
        <v>2</v>
      </c>
    </row>
    <row r="33" spans="1:30">
      <c r="A33" s="6" t="s">
        <v>40</v>
      </c>
      <c r="B33">
        <v>46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46</v>
      </c>
      <c r="S33">
        <v>0</v>
      </c>
      <c r="T33">
        <v>0</v>
      </c>
      <c r="U33">
        <v>0</v>
      </c>
      <c r="V33">
        <v>46</v>
      </c>
      <c r="W33">
        <v>0</v>
      </c>
      <c r="X33">
        <v>0</v>
      </c>
      <c r="Y33">
        <v>0</v>
      </c>
      <c r="Z33">
        <v>0</v>
      </c>
      <c r="AA33" s="16" t="str">
        <f t="shared" si="3"/>
        <v>Number of changes breaking (Change Type of Parameter)</v>
      </c>
      <c r="AB33" s="16">
        <f t="shared" si="0"/>
        <v>0</v>
      </c>
      <c r="AC33" s="16" t="str">
        <f t="shared" si="1"/>
        <v>Number of changes non-breaking (Rename Parameter)</v>
      </c>
      <c r="AD33" s="16">
        <f t="shared" si="2"/>
        <v>46</v>
      </c>
    </row>
    <row r="34" spans="1:30">
      <c r="A34" s="6" t="s">
        <v>41</v>
      </c>
      <c r="B34">
        <v>101</v>
      </c>
      <c r="C34">
        <v>86</v>
      </c>
      <c r="D34">
        <v>0</v>
      </c>
      <c r="E34">
        <v>0</v>
      </c>
      <c r="F34">
        <v>0</v>
      </c>
      <c r="G34">
        <v>10</v>
      </c>
      <c r="H34">
        <v>0</v>
      </c>
      <c r="I34">
        <v>6</v>
      </c>
      <c r="J34">
        <v>60</v>
      </c>
      <c r="K34">
        <v>0</v>
      </c>
      <c r="L34">
        <v>0</v>
      </c>
      <c r="M34">
        <v>0</v>
      </c>
      <c r="N34">
        <v>9</v>
      </c>
      <c r="O34">
        <v>0</v>
      </c>
      <c r="P34">
        <v>0</v>
      </c>
      <c r="Q34">
        <v>0</v>
      </c>
      <c r="R34">
        <v>15</v>
      </c>
      <c r="S34">
        <v>0</v>
      </c>
      <c r="T34">
        <v>0</v>
      </c>
      <c r="U34">
        <v>0</v>
      </c>
      <c r="V34">
        <v>5</v>
      </c>
      <c r="W34">
        <v>10</v>
      </c>
      <c r="X34">
        <v>0</v>
      </c>
      <c r="Y34">
        <v>0</v>
      </c>
      <c r="Z34">
        <v>0</v>
      </c>
      <c r="AA34" s="16" t="str">
        <f t="shared" si="3"/>
        <v>Number of changes breaking (Decrease Number of Parameters)</v>
      </c>
      <c r="AB34" s="16">
        <f t="shared" si="0"/>
        <v>60</v>
      </c>
      <c r="AC34" s="16" t="str">
        <f t="shared" si="1"/>
        <v>Number of changes non-breaking (Add Path)</v>
      </c>
      <c r="AD34" s="16">
        <f t="shared" si="2"/>
        <v>10</v>
      </c>
    </row>
    <row r="35" spans="1:30">
      <c r="A35" s="6" t="s">
        <v>42</v>
      </c>
      <c r="B35">
        <v>14</v>
      </c>
      <c r="C35">
        <v>6</v>
      </c>
      <c r="D35">
        <v>0</v>
      </c>
      <c r="E35">
        <v>0</v>
      </c>
      <c r="F35">
        <v>0</v>
      </c>
      <c r="G35">
        <v>3</v>
      </c>
      <c r="H35">
        <v>0</v>
      </c>
      <c r="I35">
        <v>0</v>
      </c>
      <c r="J35">
        <v>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8</v>
      </c>
      <c r="S35">
        <v>0</v>
      </c>
      <c r="T35">
        <v>0</v>
      </c>
      <c r="U35">
        <v>0</v>
      </c>
      <c r="V35">
        <v>8</v>
      </c>
      <c r="W35">
        <v>0</v>
      </c>
      <c r="X35">
        <v>0</v>
      </c>
      <c r="Y35">
        <v>0</v>
      </c>
      <c r="Z35">
        <v>0</v>
      </c>
      <c r="AA35" s="16" t="str">
        <f t="shared" si="3"/>
        <v>Number of changes breaking (Increase Number of Parameters)</v>
      </c>
      <c r="AB35" s="16">
        <f t="shared" si="0"/>
        <v>3</v>
      </c>
      <c r="AC35" s="16" t="str">
        <f t="shared" si="1"/>
        <v>Number of changes non-breaking (Rename Parameter)</v>
      </c>
      <c r="AD35" s="16">
        <f t="shared" si="2"/>
        <v>8</v>
      </c>
    </row>
    <row r="36" spans="1:30">
      <c r="A36" s="6" t="s">
        <v>43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 s="16" t="str">
        <f t="shared" si="3"/>
        <v>Number of changes breaking (Change Type of Parameter)</v>
      </c>
      <c r="AB36" s="16">
        <f t="shared" si="0"/>
        <v>0</v>
      </c>
      <c r="AC36" s="16" t="str">
        <f t="shared" si="1"/>
        <v>Number of changes non-breaking (Add Path)</v>
      </c>
      <c r="AD36" s="16">
        <f t="shared" si="2"/>
        <v>0</v>
      </c>
    </row>
    <row r="37" spans="1:30">
      <c r="A37" s="6" t="s">
        <v>44</v>
      </c>
      <c r="B37">
        <v>25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25</v>
      </c>
      <c r="S37">
        <v>0</v>
      </c>
      <c r="T37">
        <v>0</v>
      </c>
      <c r="U37">
        <v>0</v>
      </c>
      <c r="V37">
        <v>10</v>
      </c>
      <c r="W37">
        <v>15</v>
      </c>
      <c r="X37">
        <v>0</v>
      </c>
      <c r="Y37">
        <v>0</v>
      </c>
      <c r="Z37">
        <v>0</v>
      </c>
      <c r="AA37" s="16" t="str">
        <f t="shared" si="3"/>
        <v>Number of changes breaking (Change Type of Parameter)</v>
      </c>
      <c r="AB37" s="16">
        <f t="shared" si="0"/>
        <v>0</v>
      </c>
      <c r="AC37" s="16" t="str">
        <f t="shared" si="1"/>
        <v>Number of changes non-breaking (Add Path)</v>
      </c>
      <c r="AD37" s="16">
        <f t="shared" si="2"/>
        <v>15</v>
      </c>
    </row>
    <row r="38" spans="1:30">
      <c r="A38" s="6" t="s">
        <v>47</v>
      </c>
      <c r="B38">
        <v>10</v>
      </c>
      <c r="C38">
        <v>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 s="16" t="str">
        <f t="shared" si="3"/>
        <v>Number of changes breaking (Decrease Number of Parameters)</v>
      </c>
      <c r="AB38" s="16">
        <f t="shared" si="0"/>
        <v>9</v>
      </c>
      <c r="AC38" s="16" t="str">
        <f t="shared" si="1"/>
        <v>Number of changes non-breaking (Rename Parameter)</v>
      </c>
      <c r="AD38" s="16">
        <f t="shared" si="2"/>
        <v>1</v>
      </c>
    </row>
    <row r="39" spans="1:30">
      <c r="A39" s="6" t="s">
        <v>49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16" t="str">
        <f t="shared" si="3"/>
        <v>Number of changes breaking (Change Type of Parameter)</v>
      </c>
      <c r="AB39" s="16">
        <f t="shared" si="0"/>
        <v>0</v>
      </c>
      <c r="AC39" s="16" t="str">
        <f t="shared" si="1"/>
        <v>Number of changes non-breaking (Add Path)</v>
      </c>
      <c r="AD39" s="16">
        <f t="shared" si="2"/>
        <v>0</v>
      </c>
    </row>
    <row r="40" spans="1:30">
      <c r="A40" s="6" t="s">
        <v>51</v>
      </c>
      <c r="B40">
        <v>3</v>
      </c>
      <c r="C40">
        <v>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3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16" t="str">
        <f t="shared" si="3"/>
        <v>Number of changes breaking (Decrease Number of Parameters)</v>
      </c>
      <c r="AB40" s="16">
        <f t="shared" si="0"/>
        <v>3</v>
      </c>
      <c r="AC40" s="16" t="str">
        <f t="shared" si="1"/>
        <v>Number of changes non-breaking (Add Path)</v>
      </c>
      <c r="AD40" s="16">
        <f t="shared" si="2"/>
        <v>0</v>
      </c>
    </row>
    <row r="41" spans="1:30">
      <c r="A41" s="6" t="s">
        <v>53</v>
      </c>
      <c r="B41">
        <v>7</v>
      </c>
      <c r="C41">
        <v>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4</v>
      </c>
      <c r="S41">
        <v>0</v>
      </c>
      <c r="T41">
        <v>0</v>
      </c>
      <c r="U41">
        <v>0</v>
      </c>
      <c r="V41">
        <v>4</v>
      </c>
      <c r="W41">
        <v>0</v>
      </c>
      <c r="X41">
        <v>0</v>
      </c>
      <c r="Y41">
        <v>0</v>
      </c>
      <c r="Z41">
        <v>0</v>
      </c>
      <c r="AA41" s="16" t="str">
        <f t="shared" si="3"/>
        <v>Number of changes breaking (Decrease Number of Parameters)</v>
      </c>
      <c r="AB41" s="16">
        <f t="shared" si="0"/>
        <v>3</v>
      </c>
      <c r="AC41" s="16" t="str">
        <f t="shared" si="1"/>
        <v>Number of changes non-breaking (Rename Parameter)</v>
      </c>
      <c r="AD41" s="16">
        <f t="shared" si="2"/>
        <v>4</v>
      </c>
    </row>
    <row r="42" spans="1:30">
      <c r="A42" s="6" t="s">
        <v>57</v>
      </c>
      <c r="B42">
        <v>2</v>
      </c>
      <c r="C42">
        <v>2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16" t="str">
        <f t="shared" si="3"/>
        <v>Number of changes breaking (Increase Number of Parameters)</v>
      </c>
      <c r="AB42" s="16">
        <f t="shared" si="0"/>
        <v>1</v>
      </c>
      <c r="AC42" s="16" t="str">
        <f t="shared" si="1"/>
        <v>Number of changes non-breaking (Add Path)</v>
      </c>
      <c r="AD42" s="16">
        <f t="shared" si="2"/>
        <v>0</v>
      </c>
    </row>
    <row r="43" spans="1:30">
      <c r="A43" s="6" t="s">
        <v>59</v>
      </c>
      <c r="B43">
        <v>8</v>
      </c>
      <c r="C43">
        <v>3</v>
      </c>
      <c r="D43">
        <v>0</v>
      </c>
      <c r="E43">
        <v>0</v>
      </c>
      <c r="F43">
        <v>0</v>
      </c>
      <c r="G43">
        <v>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5</v>
      </c>
      <c r="S43">
        <v>0</v>
      </c>
      <c r="T43">
        <v>0</v>
      </c>
      <c r="U43">
        <v>0</v>
      </c>
      <c r="V43">
        <v>5</v>
      </c>
      <c r="W43">
        <v>0</v>
      </c>
      <c r="X43">
        <v>0</v>
      </c>
      <c r="Y43">
        <v>0</v>
      </c>
      <c r="Z43">
        <v>0</v>
      </c>
      <c r="AA43" s="16" t="str">
        <f t="shared" si="3"/>
        <v>Number of changes breaking (Increase Number of Parameters)</v>
      </c>
      <c r="AB43" s="16">
        <f t="shared" si="0"/>
        <v>3</v>
      </c>
      <c r="AC43" s="16" t="str">
        <f t="shared" si="1"/>
        <v>Number of changes non-breaking (Rename Parameter)</v>
      </c>
      <c r="AD43" s="16">
        <f t="shared" si="2"/>
        <v>5</v>
      </c>
    </row>
    <row r="44" spans="1:30">
      <c r="A44" s="6" t="s">
        <v>60</v>
      </c>
      <c r="B44">
        <v>5</v>
      </c>
      <c r="C44">
        <v>3</v>
      </c>
      <c r="D44">
        <v>0</v>
      </c>
      <c r="E44">
        <v>0</v>
      </c>
      <c r="F44">
        <v>0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2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16" t="str">
        <f t="shared" si="3"/>
        <v>Number of changes breaking (Increase Number of Parameters)</v>
      </c>
      <c r="AB44" s="16">
        <f t="shared" si="0"/>
        <v>3</v>
      </c>
      <c r="AC44" s="16" t="str">
        <f t="shared" si="1"/>
        <v>Number of changes non-breaking (Add Status Code)</v>
      </c>
      <c r="AD44" s="16">
        <f t="shared" si="2"/>
        <v>1</v>
      </c>
    </row>
    <row r="45" spans="1:30">
      <c r="A45" s="6" t="s">
        <v>61</v>
      </c>
      <c r="B45">
        <v>92</v>
      </c>
      <c r="C45">
        <v>92</v>
      </c>
      <c r="D45">
        <v>0</v>
      </c>
      <c r="E45">
        <v>0</v>
      </c>
      <c r="F45">
        <v>0</v>
      </c>
      <c r="G45">
        <v>51</v>
      </c>
      <c r="H45">
        <v>0</v>
      </c>
      <c r="I45">
        <v>0</v>
      </c>
      <c r="J45">
        <v>41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 s="16" t="str">
        <f t="shared" si="3"/>
        <v>Number of changes breaking (Increase Number of Parameters)</v>
      </c>
      <c r="AB45" s="16">
        <f t="shared" si="0"/>
        <v>51</v>
      </c>
      <c r="AC45" s="16" t="str">
        <f t="shared" si="1"/>
        <v>Number of changes non-breaking (Add Path)</v>
      </c>
      <c r="AD45" s="16">
        <f t="shared" si="2"/>
        <v>0</v>
      </c>
    </row>
    <row r="46" spans="1:30">
      <c r="A46" s="6" t="s">
        <v>63</v>
      </c>
      <c r="B46">
        <v>18</v>
      </c>
      <c r="C46">
        <v>12</v>
      </c>
      <c r="D46">
        <v>0</v>
      </c>
      <c r="E46">
        <v>0</v>
      </c>
      <c r="F46">
        <v>0</v>
      </c>
      <c r="G46">
        <v>4</v>
      </c>
      <c r="H46">
        <v>0</v>
      </c>
      <c r="I46">
        <v>1</v>
      </c>
      <c r="J46">
        <v>4</v>
      </c>
      <c r="K46">
        <v>0</v>
      </c>
      <c r="L46">
        <v>0</v>
      </c>
      <c r="M46">
        <v>0</v>
      </c>
      <c r="N46">
        <v>3</v>
      </c>
      <c r="O46">
        <v>0</v>
      </c>
      <c r="P46">
        <v>0</v>
      </c>
      <c r="Q46">
        <v>0</v>
      </c>
      <c r="R46">
        <v>6</v>
      </c>
      <c r="S46">
        <v>0</v>
      </c>
      <c r="T46">
        <v>0</v>
      </c>
      <c r="U46">
        <v>0</v>
      </c>
      <c r="V46">
        <v>4</v>
      </c>
      <c r="W46">
        <v>2</v>
      </c>
      <c r="X46">
        <v>0</v>
      </c>
      <c r="Y46">
        <v>0</v>
      </c>
      <c r="Z46">
        <v>0</v>
      </c>
      <c r="AA46" s="16" t="str">
        <f t="shared" si="3"/>
        <v>Number of changes breaking (Increase Number of Parameters)</v>
      </c>
      <c r="AB46" s="16">
        <f t="shared" si="0"/>
        <v>4</v>
      </c>
      <c r="AC46" s="16" t="str">
        <f t="shared" si="1"/>
        <v>Number of changes non-breaking (Rename Parameter)</v>
      </c>
      <c r="AD46" s="16">
        <f t="shared" si="2"/>
        <v>4</v>
      </c>
    </row>
    <row r="47" spans="1:30">
      <c r="A47" s="6" t="s">
        <v>65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 s="16" t="str">
        <f t="shared" si="3"/>
        <v>Number of changes breaking (Change Type of Parameter)</v>
      </c>
      <c r="AB47" s="16">
        <f t="shared" si="0"/>
        <v>0</v>
      </c>
      <c r="AC47" s="16" t="str">
        <f t="shared" si="1"/>
        <v>Number of changes non-breaking (Add Path)</v>
      </c>
      <c r="AD47" s="16">
        <f t="shared" si="2"/>
        <v>0</v>
      </c>
    </row>
    <row r="48" spans="1:30">
      <c r="A48" s="6" t="s">
        <v>67</v>
      </c>
      <c r="B48">
        <v>9</v>
      </c>
      <c r="C48">
        <v>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2</v>
      </c>
      <c r="O48">
        <v>0</v>
      </c>
      <c r="P48">
        <v>0</v>
      </c>
      <c r="Q48">
        <v>0</v>
      </c>
      <c r="R48">
        <v>7</v>
      </c>
      <c r="S48">
        <v>0</v>
      </c>
      <c r="T48">
        <v>0</v>
      </c>
      <c r="U48">
        <v>3</v>
      </c>
      <c r="V48">
        <v>4</v>
      </c>
      <c r="W48">
        <v>0</v>
      </c>
      <c r="X48">
        <v>0</v>
      </c>
      <c r="Y48">
        <v>0</v>
      </c>
      <c r="Z48">
        <v>0</v>
      </c>
      <c r="AA48" s="16" t="str">
        <f t="shared" si="3"/>
        <v>Number of changes breaking (Remove Status Code)</v>
      </c>
      <c r="AB48" s="16">
        <f t="shared" si="0"/>
        <v>2</v>
      </c>
      <c r="AC48" s="16" t="str">
        <f t="shared" si="1"/>
        <v>Number of changes non-breaking (Rename Parameter)</v>
      </c>
      <c r="AD48" s="16">
        <f t="shared" si="2"/>
        <v>4</v>
      </c>
    </row>
    <row r="49" spans="1:30">
      <c r="A49" s="6" t="s">
        <v>68</v>
      </c>
      <c r="B49">
        <v>9</v>
      </c>
      <c r="C49">
        <v>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3</v>
      </c>
      <c r="O49">
        <v>0</v>
      </c>
      <c r="P49">
        <v>0</v>
      </c>
      <c r="Q49">
        <v>0</v>
      </c>
      <c r="R49">
        <v>6</v>
      </c>
      <c r="S49">
        <v>0</v>
      </c>
      <c r="T49">
        <v>0</v>
      </c>
      <c r="U49">
        <v>3</v>
      </c>
      <c r="V49">
        <v>3</v>
      </c>
      <c r="W49">
        <v>0</v>
      </c>
      <c r="X49">
        <v>0</v>
      </c>
      <c r="Y49">
        <v>0</v>
      </c>
      <c r="Z49">
        <v>0</v>
      </c>
      <c r="AA49" s="16" t="str">
        <f t="shared" si="3"/>
        <v>Number of changes breaking (Remove Status Code)</v>
      </c>
      <c r="AB49" s="16">
        <f t="shared" si="0"/>
        <v>3</v>
      </c>
      <c r="AC49" s="16" t="str">
        <f t="shared" si="1"/>
        <v>Number of changes non-breaking (Rename Parameter)</v>
      </c>
      <c r="AD49" s="16">
        <f t="shared" si="2"/>
        <v>3</v>
      </c>
    </row>
    <row r="50" spans="1:30">
      <c r="A50" s="6" t="s">
        <v>69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 s="16" t="str">
        <f t="shared" si="3"/>
        <v>Number of changes breaking (Change Type of Parameter)</v>
      </c>
      <c r="AB50" s="16">
        <f t="shared" si="0"/>
        <v>0</v>
      </c>
      <c r="AC50" s="16" t="str">
        <f t="shared" si="1"/>
        <v>Number of changes non-breaking (Add Path)</v>
      </c>
      <c r="AD50" s="16">
        <f t="shared" si="2"/>
        <v>0</v>
      </c>
    </row>
    <row r="51" spans="1:30">
      <c r="A51" s="6" t="s">
        <v>71</v>
      </c>
      <c r="B51">
        <v>24</v>
      </c>
      <c r="C51">
        <v>20</v>
      </c>
      <c r="D51">
        <v>0</v>
      </c>
      <c r="E51">
        <v>0</v>
      </c>
      <c r="F51">
        <v>0</v>
      </c>
      <c r="G51">
        <v>16</v>
      </c>
      <c r="H51">
        <v>0</v>
      </c>
      <c r="I51">
        <v>0</v>
      </c>
      <c r="J51">
        <v>3</v>
      </c>
      <c r="K51">
        <v>0</v>
      </c>
      <c r="L51">
        <v>0</v>
      </c>
      <c r="M51">
        <v>0</v>
      </c>
      <c r="N51">
        <v>1</v>
      </c>
      <c r="O51">
        <v>0</v>
      </c>
      <c r="P51">
        <v>0</v>
      </c>
      <c r="Q51">
        <v>0</v>
      </c>
      <c r="R51">
        <v>4</v>
      </c>
      <c r="S51">
        <v>0</v>
      </c>
      <c r="T51">
        <v>0</v>
      </c>
      <c r="U51">
        <v>0</v>
      </c>
      <c r="V51">
        <v>0</v>
      </c>
      <c r="W51">
        <v>4</v>
      </c>
      <c r="X51">
        <v>0</v>
      </c>
      <c r="Y51">
        <v>0</v>
      </c>
      <c r="Z51">
        <v>0</v>
      </c>
      <c r="AA51" s="16" t="str">
        <f t="shared" si="3"/>
        <v>Number of changes breaking (Increase Number of Parameters)</v>
      </c>
      <c r="AB51" s="16">
        <f t="shared" si="0"/>
        <v>16</v>
      </c>
      <c r="AC51" s="16" t="str">
        <f t="shared" si="1"/>
        <v>Number of changes non-breaking (Add Path)</v>
      </c>
      <c r="AD51" s="16">
        <f t="shared" si="2"/>
        <v>4</v>
      </c>
    </row>
    <row r="52" spans="1:30">
      <c r="A52" s="6" t="s">
        <v>73</v>
      </c>
      <c r="B52">
        <v>8</v>
      </c>
      <c r="C52">
        <v>8</v>
      </c>
      <c r="D52">
        <v>0</v>
      </c>
      <c r="E52">
        <v>0</v>
      </c>
      <c r="F52">
        <v>0</v>
      </c>
      <c r="G52">
        <v>2</v>
      </c>
      <c r="H52">
        <v>0</v>
      </c>
      <c r="I52">
        <v>0</v>
      </c>
      <c r="J52">
        <v>6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s="16" t="str">
        <f t="shared" si="3"/>
        <v>Number of changes breaking (Decrease Number of Parameters)</v>
      </c>
      <c r="AB52" s="16">
        <f t="shared" si="0"/>
        <v>6</v>
      </c>
      <c r="AC52" s="16" t="str">
        <f t="shared" si="1"/>
        <v>Number of changes non-breaking (Add Path)</v>
      </c>
      <c r="AD52" s="16">
        <f t="shared" si="2"/>
        <v>0</v>
      </c>
    </row>
    <row r="53" spans="1:30">
      <c r="A53" s="6" t="s">
        <v>75</v>
      </c>
      <c r="B53">
        <v>4</v>
      </c>
      <c r="C53">
        <v>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2</v>
      </c>
      <c r="K53">
        <v>0</v>
      </c>
      <c r="L53">
        <v>0</v>
      </c>
      <c r="M53">
        <v>0</v>
      </c>
      <c r="N53">
        <v>1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 s="16" t="str">
        <f t="shared" si="3"/>
        <v>Number of changes breaking (Decrease Number of Parameters)</v>
      </c>
      <c r="AB53" s="16">
        <f t="shared" si="0"/>
        <v>2</v>
      </c>
      <c r="AC53" s="16" t="str">
        <f t="shared" si="1"/>
        <v>Number of changes non-breaking (Add Path)</v>
      </c>
      <c r="AD53" s="16">
        <f t="shared" si="2"/>
        <v>1</v>
      </c>
    </row>
    <row r="54" spans="1:30">
      <c r="A54" s="6" t="s">
        <v>77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1</v>
      </c>
      <c r="X54">
        <v>0</v>
      </c>
      <c r="Y54">
        <v>0</v>
      </c>
      <c r="Z54">
        <v>0</v>
      </c>
      <c r="AA54" s="16" t="str">
        <f t="shared" si="3"/>
        <v>Number of changes breaking (Change Type of Parameter)</v>
      </c>
      <c r="AB54" s="16">
        <f t="shared" si="0"/>
        <v>0</v>
      </c>
      <c r="AC54" s="16" t="str">
        <f t="shared" si="1"/>
        <v>Number of changes non-breaking (Add Path)</v>
      </c>
      <c r="AD54" s="16">
        <f t="shared" si="2"/>
        <v>1</v>
      </c>
    </row>
    <row r="55" spans="1:30">
      <c r="A55" s="6" t="s">
        <v>78</v>
      </c>
      <c r="B55">
        <v>12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12</v>
      </c>
      <c r="S55">
        <v>0</v>
      </c>
      <c r="T55">
        <v>0</v>
      </c>
      <c r="U55">
        <v>0</v>
      </c>
      <c r="V55">
        <v>12</v>
      </c>
      <c r="W55">
        <v>0</v>
      </c>
      <c r="X55">
        <v>0</v>
      </c>
      <c r="Y55">
        <v>0</v>
      </c>
      <c r="Z55">
        <v>0</v>
      </c>
      <c r="AA55" s="16" t="str">
        <f t="shared" si="3"/>
        <v>Number of changes breaking (Change Type of Parameter)</v>
      </c>
      <c r="AB55" s="16">
        <f t="shared" si="0"/>
        <v>0</v>
      </c>
      <c r="AC55" s="16" t="str">
        <f t="shared" si="1"/>
        <v>Number of changes non-breaking (Rename Parameter)</v>
      </c>
      <c r="AD55" s="16">
        <f t="shared" si="2"/>
        <v>12</v>
      </c>
    </row>
    <row r="56" spans="1:30">
      <c r="A56" s="6" t="s">
        <v>81</v>
      </c>
      <c r="B56">
        <v>30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30</v>
      </c>
      <c r="S56">
        <v>0</v>
      </c>
      <c r="T56">
        <v>0</v>
      </c>
      <c r="U56">
        <v>0</v>
      </c>
      <c r="V56">
        <v>30</v>
      </c>
      <c r="W56">
        <v>0</v>
      </c>
      <c r="X56">
        <v>0</v>
      </c>
      <c r="Y56">
        <v>0</v>
      </c>
      <c r="Z56">
        <v>0</v>
      </c>
      <c r="AA56" s="16" t="str">
        <f t="shared" si="3"/>
        <v>Number of changes breaking (Change Type of Parameter)</v>
      </c>
      <c r="AB56" s="16">
        <f t="shared" si="0"/>
        <v>0</v>
      </c>
      <c r="AC56" s="16" t="str">
        <f t="shared" si="1"/>
        <v>Number of changes non-breaking (Rename Parameter)</v>
      </c>
      <c r="AD56" s="16">
        <f t="shared" si="2"/>
        <v>30</v>
      </c>
    </row>
    <row r="57" spans="1:30">
      <c r="A57" s="6" t="s">
        <v>85</v>
      </c>
      <c r="B57">
        <v>25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25</v>
      </c>
      <c r="S57">
        <v>0</v>
      </c>
      <c r="T57">
        <v>0</v>
      </c>
      <c r="U57">
        <v>0</v>
      </c>
      <c r="V57">
        <v>25</v>
      </c>
      <c r="W57">
        <v>0</v>
      </c>
      <c r="X57">
        <v>0</v>
      </c>
      <c r="Y57">
        <v>0</v>
      </c>
      <c r="Z57">
        <v>0</v>
      </c>
      <c r="AA57" s="16" t="str">
        <f t="shared" si="3"/>
        <v>Number of changes breaking (Change Type of Parameter)</v>
      </c>
      <c r="AB57" s="16">
        <f t="shared" si="0"/>
        <v>0</v>
      </c>
      <c r="AC57" s="16" t="str">
        <f t="shared" si="1"/>
        <v>Number of changes non-breaking (Rename Parameter)</v>
      </c>
      <c r="AD57" s="16">
        <f t="shared" si="2"/>
        <v>25</v>
      </c>
    </row>
    <row r="58" spans="1:30">
      <c r="A58" s="6" t="s">
        <v>87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 s="16" t="str">
        <f t="shared" si="3"/>
        <v>Number of changes breaking (Change Type of Parameter)</v>
      </c>
      <c r="AB58" s="16">
        <f t="shared" si="0"/>
        <v>0</v>
      </c>
      <c r="AC58" s="16" t="str">
        <f t="shared" si="1"/>
        <v>Number of changes non-breaking (Add Path)</v>
      </c>
      <c r="AD58" s="16">
        <f t="shared" si="2"/>
        <v>1</v>
      </c>
    </row>
    <row r="59" spans="1:30">
      <c r="A59" s="6" t="s">
        <v>89</v>
      </c>
      <c r="B59">
        <v>38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38</v>
      </c>
      <c r="S59">
        <v>0</v>
      </c>
      <c r="T59">
        <v>0</v>
      </c>
      <c r="U59">
        <v>0</v>
      </c>
      <c r="V59">
        <v>38</v>
      </c>
      <c r="W59">
        <v>0</v>
      </c>
      <c r="X59">
        <v>0</v>
      </c>
      <c r="Y59">
        <v>0</v>
      </c>
      <c r="Z59">
        <v>0</v>
      </c>
      <c r="AA59" s="16" t="str">
        <f t="shared" si="3"/>
        <v>Number of changes breaking (Change Type of Parameter)</v>
      </c>
      <c r="AB59" s="16">
        <f t="shared" si="0"/>
        <v>0</v>
      </c>
      <c r="AC59" s="16" t="str">
        <f t="shared" si="1"/>
        <v>Number of changes non-breaking (Rename Parameter)</v>
      </c>
      <c r="AD59" s="16">
        <f t="shared" si="2"/>
        <v>38</v>
      </c>
    </row>
    <row r="60" spans="1:30">
      <c r="A60" s="6" t="s">
        <v>93</v>
      </c>
      <c r="B60">
        <v>40</v>
      </c>
      <c r="C60">
        <v>24</v>
      </c>
      <c r="D60">
        <v>0</v>
      </c>
      <c r="E60">
        <v>0</v>
      </c>
      <c r="F60">
        <v>0</v>
      </c>
      <c r="G60">
        <v>7</v>
      </c>
      <c r="H60">
        <v>0</v>
      </c>
      <c r="I60">
        <v>2</v>
      </c>
      <c r="J60">
        <v>6</v>
      </c>
      <c r="K60">
        <v>0</v>
      </c>
      <c r="L60">
        <v>0</v>
      </c>
      <c r="M60">
        <v>0</v>
      </c>
      <c r="N60">
        <v>9</v>
      </c>
      <c r="O60">
        <v>0</v>
      </c>
      <c r="P60">
        <v>0</v>
      </c>
      <c r="Q60">
        <v>0</v>
      </c>
      <c r="R60">
        <v>16</v>
      </c>
      <c r="S60">
        <v>0</v>
      </c>
      <c r="T60">
        <v>0</v>
      </c>
      <c r="U60">
        <v>0</v>
      </c>
      <c r="V60">
        <v>0</v>
      </c>
      <c r="W60">
        <v>16</v>
      </c>
      <c r="X60">
        <v>0</v>
      </c>
      <c r="Y60">
        <v>0</v>
      </c>
      <c r="Z60">
        <v>0</v>
      </c>
      <c r="AA60" s="16" t="str">
        <f t="shared" si="3"/>
        <v>Number of changes breaking (Remove Status Code)</v>
      </c>
      <c r="AB60" s="16">
        <f t="shared" si="0"/>
        <v>9</v>
      </c>
      <c r="AC60" s="16" t="str">
        <f t="shared" si="1"/>
        <v>Number of changes non-breaking (Add Path)</v>
      </c>
      <c r="AD60" s="16">
        <f t="shared" si="2"/>
        <v>16</v>
      </c>
    </row>
    <row r="61" spans="1:30">
      <c r="A61" s="6" t="s">
        <v>95</v>
      </c>
      <c r="B61">
        <v>87</v>
      </c>
      <c r="C61">
        <v>80</v>
      </c>
      <c r="D61">
        <v>0</v>
      </c>
      <c r="E61">
        <v>0</v>
      </c>
      <c r="F61">
        <v>0</v>
      </c>
      <c r="G61">
        <v>36</v>
      </c>
      <c r="H61">
        <v>0</v>
      </c>
      <c r="I61">
        <v>2</v>
      </c>
      <c r="J61">
        <v>36</v>
      </c>
      <c r="K61">
        <v>0</v>
      </c>
      <c r="L61">
        <v>0</v>
      </c>
      <c r="M61">
        <v>0</v>
      </c>
      <c r="N61">
        <v>6</v>
      </c>
      <c r="O61">
        <v>0</v>
      </c>
      <c r="P61">
        <v>0</v>
      </c>
      <c r="Q61">
        <v>0</v>
      </c>
      <c r="R61">
        <v>7</v>
      </c>
      <c r="S61">
        <v>0</v>
      </c>
      <c r="T61">
        <v>0</v>
      </c>
      <c r="U61">
        <v>0</v>
      </c>
      <c r="V61">
        <v>1</v>
      </c>
      <c r="W61">
        <v>6</v>
      </c>
      <c r="X61">
        <v>0</v>
      </c>
      <c r="Y61">
        <v>0</v>
      </c>
      <c r="Z61">
        <v>0</v>
      </c>
      <c r="AA61" s="16" t="str">
        <f t="shared" si="3"/>
        <v>Number of changes breaking (Increase Number of Parameters)</v>
      </c>
      <c r="AB61" s="16">
        <f t="shared" si="0"/>
        <v>36</v>
      </c>
      <c r="AC61" s="16" t="str">
        <f t="shared" si="1"/>
        <v>Number of changes non-breaking (Add Path)</v>
      </c>
      <c r="AD61" s="16">
        <f t="shared" si="2"/>
        <v>6</v>
      </c>
    </row>
    <row r="62" spans="1:30">
      <c r="A62" s="6" t="s">
        <v>100</v>
      </c>
      <c r="B62">
        <v>53</v>
      </c>
      <c r="C62">
        <v>41</v>
      </c>
      <c r="D62">
        <v>0</v>
      </c>
      <c r="E62">
        <v>0</v>
      </c>
      <c r="F62">
        <v>0</v>
      </c>
      <c r="G62">
        <v>25</v>
      </c>
      <c r="H62">
        <v>0</v>
      </c>
      <c r="I62">
        <v>4</v>
      </c>
      <c r="J62">
        <v>11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12</v>
      </c>
      <c r="S62">
        <v>0</v>
      </c>
      <c r="T62">
        <v>0</v>
      </c>
      <c r="U62">
        <v>0</v>
      </c>
      <c r="V62">
        <v>7</v>
      </c>
      <c r="W62">
        <v>5</v>
      </c>
      <c r="X62">
        <v>0</v>
      </c>
      <c r="Y62">
        <v>0</v>
      </c>
      <c r="Z62">
        <v>0</v>
      </c>
      <c r="AA62" s="16" t="str">
        <f t="shared" si="3"/>
        <v>Number of changes breaking (Increase Number of Parameters)</v>
      </c>
      <c r="AB62" s="16">
        <f t="shared" si="0"/>
        <v>25</v>
      </c>
      <c r="AC62" s="16" t="str">
        <f t="shared" si="1"/>
        <v>Number of changes non-breaking (Rename Parameter)</v>
      </c>
      <c r="AD62" s="16">
        <f t="shared" si="2"/>
        <v>7</v>
      </c>
    </row>
    <row r="63" spans="1:30">
      <c r="A63" s="6" t="s">
        <v>104</v>
      </c>
      <c r="B63">
        <v>29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29</v>
      </c>
      <c r="S63">
        <v>0</v>
      </c>
      <c r="T63">
        <v>0</v>
      </c>
      <c r="U63">
        <v>0</v>
      </c>
      <c r="V63">
        <v>29</v>
      </c>
      <c r="W63">
        <v>0</v>
      </c>
      <c r="X63">
        <v>0</v>
      </c>
      <c r="Y63">
        <v>0</v>
      </c>
      <c r="Z63">
        <v>0</v>
      </c>
      <c r="AA63" s="16" t="str">
        <f t="shared" si="3"/>
        <v>Number of changes breaking (Change Type of Parameter)</v>
      </c>
      <c r="AB63" s="16">
        <f t="shared" si="0"/>
        <v>0</v>
      </c>
      <c r="AC63" s="16" t="str">
        <f t="shared" si="1"/>
        <v>Number of changes non-breaking (Rename Parameter)</v>
      </c>
      <c r="AD63" s="16">
        <f t="shared" si="2"/>
        <v>29</v>
      </c>
    </row>
    <row r="64" spans="1:30">
      <c r="A64" s="6" t="s">
        <v>106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 s="16" t="str">
        <f t="shared" si="3"/>
        <v>Number of changes breaking (Change Type of Parameter)</v>
      </c>
      <c r="AB64" s="16">
        <f t="shared" si="0"/>
        <v>0</v>
      </c>
      <c r="AC64" s="16" t="str">
        <f t="shared" si="1"/>
        <v>Number of changes non-breaking (Rename Parameter)</v>
      </c>
      <c r="AD64" s="16">
        <f t="shared" si="2"/>
        <v>1</v>
      </c>
    </row>
    <row r="65" spans="1:30">
      <c r="A65" s="6" t="s">
        <v>109</v>
      </c>
      <c r="B65">
        <v>34</v>
      </c>
      <c r="C65">
        <v>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30</v>
      </c>
      <c r="S65">
        <v>0</v>
      </c>
      <c r="T65">
        <v>0</v>
      </c>
      <c r="U65">
        <v>0</v>
      </c>
      <c r="V65">
        <v>30</v>
      </c>
      <c r="W65">
        <v>0</v>
      </c>
      <c r="X65">
        <v>0</v>
      </c>
      <c r="Y65">
        <v>0</v>
      </c>
      <c r="Z65">
        <v>0</v>
      </c>
      <c r="AA65" s="16" t="str">
        <f t="shared" si="3"/>
        <v>Number of changes breaking (Decrease Number of Parameters)</v>
      </c>
      <c r="AB65" s="16">
        <f t="shared" si="0"/>
        <v>4</v>
      </c>
      <c r="AC65" s="16" t="str">
        <f t="shared" si="1"/>
        <v>Number of changes non-breaking (Rename Parameter)</v>
      </c>
      <c r="AD65" s="16">
        <f t="shared" si="2"/>
        <v>30</v>
      </c>
    </row>
    <row r="66" spans="1:30">
      <c r="A66" s="6" t="s">
        <v>115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 s="16" t="str">
        <f t="shared" si="3"/>
        <v>Number of changes breaking (Increase Number of Parameters)</v>
      </c>
      <c r="AB66" s="16">
        <f t="shared" si="0"/>
        <v>1</v>
      </c>
      <c r="AC66" s="16" t="str">
        <f t="shared" si="1"/>
        <v>Number of changes non-breaking (Add Path)</v>
      </c>
      <c r="AD66" s="16">
        <f t="shared" si="2"/>
        <v>0</v>
      </c>
    </row>
    <row r="67" spans="1:30">
      <c r="A67" s="6" t="s">
        <v>119</v>
      </c>
      <c r="B67">
        <v>1</v>
      </c>
      <c r="C67">
        <v>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 s="16" t="str">
        <f t="shared" si="3"/>
        <v>Number of changes breaking (Change Type of Parameter)</v>
      </c>
      <c r="AB67" s="16">
        <f t="shared" ref="AB67:AB130" si="4">MAX(D67:Q67)</f>
        <v>0</v>
      </c>
      <c r="AC67" s="16" t="str">
        <f t="shared" ref="AC67:AC130" si="5">INDEX($S$1:$Z$1,MATCH(AD67,S67:Z67))</f>
        <v>Number of changes non-breaking (Add Path)</v>
      </c>
      <c r="AD67" s="16">
        <f t="shared" ref="AD67:AD130" si="6">MAX(S67:Z67)</f>
        <v>0</v>
      </c>
    </row>
    <row r="68" spans="1:30">
      <c r="A68" s="6" t="s">
        <v>121</v>
      </c>
      <c r="B68">
        <v>7</v>
      </c>
      <c r="C68">
        <v>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6</v>
      </c>
      <c r="S68">
        <v>0</v>
      </c>
      <c r="T68">
        <v>0</v>
      </c>
      <c r="U68">
        <v>0</v>
      </c>
      <c r="V68">
        <v>3</v>
      </c>
      <c r="W68">
        <v>3</v>
      </c>
      <c r="X68">
        <v>0</v>
      </c>
      <c r="Y68">
        <v>0</v>
      </c>
      <c r="Z68">
        <v>0</v>
      </c>
      <c r="AA68" s="16" t="str">
        <f t="shared" si="3"/>
        <v>Number of changes breaking (Decrease Number of Parameters)</v>
      </c>
      <c r="AB68" s="16">
        <f t="shared" si="4"/>
        <v>1</v>
      </c>
      <c r="AC68" s="16" t="str">
        <f t="shared" si="5"/>
        <v>Number of changes non-breaking (Add Status Code)</v>
      </c>
      <c r="AD68" s="16">
        <f t="shared" si="6"/>
        <v>3</v>
      </c>
    </row>
    <row r="69" spans="1:30">
      <c r="A69" s="6" t="s">
        <v>123</v>
      </c>
      <c r="B69">
        <v>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8</v>
      </c>
      <c r="S69">
        <v>0</v>
      </c>
      <c r="T69">
        <v>0</v>
      </c>
      <c r="U69">
        <v>0</v>
      </c>
      <c r="V69">
        <v>6</v>
      </c>
      <c r="W69">
        <v>2</v>
      </c>
      <c r="X69">
        <v>0</v>
      </c>
      <c r="Y69">
        <v>0</v>
      </c>
      <c r="Z69">
        <v>0</v>
      </c>
      <c r="AA69" s="16" t="str">
        <f t="shared" si="3"/>
        <v>Number of changes breaking (Change Type of Parameter)</v>
      </c>
      <c r="AB69" s="16">
        <f t="shared" si="4"/>
        <v>0</v>
      </c>
      <c r="AC69" s="16" t="str">
        <f t="shared" si="5"/>
        <v>Number of changes non-breaking (Rename Parameter)</v>
      </c>
      <c r="AD69" s="16">
        <f t="shared" si="6"/>
        <v>6</v>
      </c>
    </row>
    <row r="70" spans="1:30">
      <c r="A70" s="6" t="s">
        <v>126</v>
      </c>
      <c r="B70">
        <v>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4</v>
      </c>
      <c r="S70">
        <v>0</v>
      </c>
      <c r="T70">
        <v>0</v>
      </c>
      <c r="U70">
        <v>0</v>
      </c>
      <c r="V70">
        <v>4</v>
      </c>
      <c r="W70">
        <v>0</v>
      </c>
      <c r="X70">
        <v>0</v>
      </c>
      <c r="Y70">
        <v>0</v>
      </c>
      <c r="Z70">
        <v>0</v>
      </c>
      <c r="AA70" s="16" t="str">
        <f t="shared" ref="AA70:AA133" si="7">INDEX(D$1:Q$1,MATCH(AB70,D70:Q70,0))</f>
        <v>Number of changes breaking (Change Type of Parameter)</v>
      </c>
      <c r="AB70" s="16">
        <f t="shared" si="4"/>
        <v>0</v>
      </c>
      <c r="AC70" s="16" t="str">
        <f t="shared" si="5"/>
        <v>Number of changes non-breaking (Rename Parameter)</v>
      </c>
      <c r="AD70" s="16">
        <f t="shared" si="6"/>
        <v>4</v>
      </c>
    </row>
    <row r="71" spans="1:30">
      <c r="A71" s="6" t="s">
        <v>128</v>
      </c>
      <c r="B71">
        <v>6</v>
      </c>
      <c r="C71">
        <v>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7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2</v>
      </c>
      <c r="S71">
        <v>0</v>
      </c>
      <c r="T71">
        <v>0</v>
      </c>
      <c r="U71">
        <v>0</v>
      </c>
      <c r="V71">
        <v>2</v>
      </c>
      <c r="W71">
        <v>0</v>
      </c>
      <c r="X71">
        <v>0</v>
      </c>
      <c r="Y71">
        <v>0</v>
      </c>
      <c r="Z71">
        <v>0</v>
      </c>
      <c r="AA71" s="16" t="str">
        <f t="shared" si="7"/>
        <v>Number of changes breaking (Decrease Number of Parameters)</v>
      </c>
      <c r="AB71" s="16">
        <f t="shared" si="4"/>
        <v>7</v>
      </c>
      <c r="AC71" s="16" t="str">
        <f t="shared" si="5"/>
        <v>Number of changes non-breaking (Rename Parameter)</v>
      </c>
      <c r="AD71" s="16">
        <f t="shared" si="6"/>
        <v>2</v>
      </c>
    </row>
    <row r="72" spans="1:30">
      <c r="A72" s="6" t="s">
        <v>130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s="16" t="str">
        <f t="shared" si="7"/>
        <v>Number of changes breaking (Change Type of Parameter)</v>
      </c>
      <c r="AB72" s="16">
        <f t="shared" si="4"/>
        <v>0</v>
      </c>
      <c r="AC72" s="16" t="str">
        <f t="shared" si="5"/>
        <v>Number of changes non-breaking (Add Path)</v>
      </c>
      <c r="AD72" s="16">
        <f t="shared" si="6"/>
        <v>0</v>
      </c>
    </row>
    <row r="73" spans="1:30">
      <c r="A73" s="6" t="s">
        <v>134</v>
      </c>
      <c r="B73">
        <v>16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16</v>
      </c>
      <c r="S73">
        <v>0</v>
      </c>
      <c r="T73">
        <v>0</v>
      </c>
      <c r="U73">
        <v>0</v>
      </c>
      <c r="V73">
        <v>14</v>
      </c>
      <c r="W73">
        <v>2</v>
      </c>
      <c r="X73">
        <v>0</v>
      </c>
      <c r="Y73">
        <v>0</v>
      </c>
      <c r="Z73">
        <v>0</v>
      </c>
      <c r="AA73" s="16" t="str">
        <f t="shared" si="7"/>
        <v>Number of changes breaking (Change Type of Parameter)</v>
      </c>
      <c r="AB73" s="16">
        <f t="shared" si="4"/>
        <v>0</v>
      </c>
      <c r="AC73" s="16" t="str">
        <f t="shared" si="5"/>
        <v>Number of changes non-breaking (Rename Parameter)</v>
      </c>
      <c r="AD73" s="16">
        <f t="shared" si="6"/>
        <v>14</v>
      </c>
    </row>
    <row r="74" spans="1:30">
      <c r="A74" s="6" t="s">
        <v>138</v>
      </c>
      <c r="B74">
        <v>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4</v>
      </c>
      <c r="S74">
        <v>0</v>
      </c>
      <c r="T74">
        <v>0</v>
      </c>
      <c r="U74">
        <v>0</v>
      </c>
      <c r="V74">
        <v>4</v>
      </c>
      <c r="W74">
        <v>0</v>
      </c>
      <c r="X74">
        <v>0</v>
      </c>
      <c r="Y74">
        <v>0</v>
      </c>
      <c r="Z74">
        <v>0</v>
      </c>
      <c r="AA74" s="16" t="str">
        <f t="shared" si="7"/>
        <v>Number of changes breaking (Change Type of Parameter)</v>
      </c>
      <c r="AB74" s="16">
        <f t="shared" si="4"/>
        <v>0</v>
      </c>
      <c r="AC74" s="16" t="str">
        <f t="shared" si="5"/>
        <v>Number of changes non-breaking (Rename Parameter)</v>
      </c>
      <c r="AD74" s="16">
        <f t="shared" si="6"/>
        <v>4</v>
      </c>
    </row>
    <row r="75" spans="1:30">
      <c r="A75" s="6" t="s">
        <v>141</v>
      </c>
      <c r="B75">
        <v>6</v>
      </c>
      <c r="C75">
        <v>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4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2</v>
      </c>
      <c r="S75">
        <v>0</v>
      </c>
      <c r="T75">
        <v>0</v>
      </c>
      <c r="U75">
        <v>0</v>
      </c>
      <c r="V75">
        <v>2</v>
      </c>
      <c r="W75">
        <v>0</v>
      </c>
      <c r="X75">
        <v>0</v>
      </c>
      <c r="Y75">
        <v>0</v>
      </c>
      <c r="Z75">
        <v>0</v>
      </c>
      <c r="AA75" s="16" t="str">
        <f t="shared" si="7"/>
        <v>Number of changes breaking (Decrease Number of Parameters)</v>
      </c>
      <c r="AB75" s="16">
        <f t="shared" si="4"/>
        <v>4</v>
      </c>
      <c r="AC75" s="16" t="str">
        <f t="shared" si="5"/>
        <v>Number of changes non-breaking (Rename Parameter)</v>
      </c>
      <c r="AD75" s="16">
        <f t="shared" si="6"/>
        <v>2</v>
      </c>
    </row>
    <row r="76" spans="1:30">
      <c r="A76" s="6" t="s">
        <v>142</v>
      </c>
      <c r="B76">
        <v>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6</v>
      </c>
      <c r="S76">
        <v>0</v>
      </c>
      <c r="T76">
        <v>0</v>
      </c>
      <c r="U76">
        <v>0</v>
      </c>
      <c r="V76">
        <v>4</v>
      </c>
      <c r="W76">
        <v>2</v>
      </c>
      <c r="X76">
        <v>0</v>
      </c>
      <c r="Y76">
        <v>0</v>
      </c>
      <c r="Z76">
        <v>0</v>
      </c>
      <c r="AA76" s="16" t="str">
        <f t="shared" si="7"/>
        <v>Number of changes breaking (Change Type of Parameter)</v>
      </c>
      <c r="AB76" s="16">
        <f t="shared" si="4"/>
        <v>0</v>
      </c>
      <c r="AC76" s="16" t="str">
        <f t="shared" si="5"/>
        <v>Number of changes non-breaking (Rename Parameter)</v>
      </c>
      <c r="AD76" s="16">
        <f t="shared" si="6"/>
        <v>4</v>
      </c>
    </row>
    <row r="77" spans="1:30">
      <c r="A77" s="6" t="s">
        <v>143</v>
      </c>
      <c r="B77">
        <v>27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27</v>
      </c>
      <c r="S77">
        <v>0</v>
      </c>
      <c r="T77">
        <v>0</v>
      </c>
      <c r="U77">
        <v>0</v>
      </c>
      <c r="V77">
        <v>27</v>
      </c>
      <c r="W77">
        <v>0</v>
      </c>
      <c r="X77">
        <v>0</v>
      </c>
      <c r="Y77">
        <v>0</v>
      </c>
      <c r="Z77">
        <v>0</v>
      </c>
      <c r="AA77" s="16" t="str">
        <f t="shared" si="7"/>
        <v>Number of changes breaking (Change Type of Parameter)</v>
      </c>
      <c r="AB77" s="16">
        <f t="shared" si="4"/>
        <v>0</v>
      </c>
      <c r="AC77" s="16" t="str">
        <f t="shared" si="5"/>
        <v>Number of changes non-breaking (Rename Parameter)</v>
      </c>
      <c r="AD77" s="16">
        <f t="shared" si="6"/>
        <v>27</v>
      </c>
    </row>
    <row r="78" spans="1:30">
      <c r="A78" s="6" t="s">
        <v>149</v>
      </c>
      <c r="B78">
        <v>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4</v>
      </c>
      <c r="S78">
        <v>0</v>
      </c>
      <c r="T78">
        <v>0</v>
      </c>
      <c r="U78">
        <v>0</v>
      </c>
      <c r="V78">
        <v>4</v>
      </c>
      <c r="W78">
        <v>0</v>
      </c>
      <c r="X78">
        <v>0</v>
      </c>
      <c r="Y78">
        <v>0</v>
      </c>
      <c r="Z78">
        <v>0</v>
      </c>
      <c r="AA78" s="16" t="str">
        <f t="shared" si="7"/>
        <v>Number of changes breaking (Change Type of Parameter)</v>
      </c>
      <c r="AB78" s="16">
        <f t="shared" si="4"/>
        <v>0</v>
      </c>
      <c r="AC78" s="16" t="str">
        <f t="shared" si="5"/>
        <v>Number of changes non-breaking (Rename Parameter)</v>
      </c>
      <c r="AD78" s="16">
        <f t="shared" si="6"/>
        <v>4</v>
      </c>
    </row>
    <row r="79" spans="1:30">
      <c r="A79" s="6" t="s">
        <v>151</v>
      </c>
      <c r="B79">
        <v>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4</v>
      </c>
      <c r="S79">
        <v>0</v>
      </c>
      <c r="T79">
        <v>0</v>
      </c>
      <c r="U79">
        <v>0</v>
      </c>
      <c r="V79">
        <v>4</v>
      </c>
      <c r="W79">
        <v>0</v>
      </c>
      <c r="X79">
        <v>0</v>
      </c>
      <c r="Y79">
        <v>0</v>
      </c>
      <c r="Z79">
        <v>0</v>
      </c>
      <c r="AA79" s="16" t="str">
        <f t="shared" si="7"/>
        <v>Number of changes breaking (Change Type of Parameter)</v>
      </c>
      <c r="AB79" s="16">
        <f t="shared" si="4"/>
        <v>0</v>
      </c>
      <c r="AC79" s="16" t="str">
        <f t="shared" si="5"/>
        <v>Number of changes non-breaking (Rename Parameter)</v>
      </c>
      <c r="AD79" s="16">
        <f t="shared" si="6"/>
        <v>4</v>
      </c>
    </row>
    <row r="80" spans="1:30">
      <c r="A80" s="6" t="s">
        <v>153</v>
      </c>
      <c r="B80">
        <v>14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14</v>
      </c>
      <c r="S80">
        <v>0</v>
      </c>
      <c r="T80">
        <v>0</v>
      </c>
      <c r="U80">
        <v>0</v>
      </c>
      <c r="V80">
        <v>14</v>
      </c>
      <c r="W80">
        <v>0</v>
      </c>
      <c r="X80">
        <v>0</v>
      </c>
      <c r="Y80">
        <v>0</v>
      </c>
      <c r="Z80">
        <v>0</v>
      </c>
      <c r="AA80" s="16" t="str">
        <f t="shared" si="7"/>
        <v>Number of changes breaking (Change Type of Parameter)</v>
      </c>
      <c r="AB80" s="16">
        <f t="shared" si="4"/>
        <v>0</v>
      </c>
      <c r="AC80" s="16" t="str">
        <f t="shared" si="5"/>
        <v>Number of changes non-breaking (Rename Parameter)</v>
      </c>
      <c r="AD80" s="16">
        <f t="shared" si="6"/>
        <v>14</v>
      </c>
    </row>
    <row r="81" spans="1:30">
      <c r="A81" s="6" t="s">
        <v>155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s="16" t="str">
        <f t="shared" si="7"/>
        <v>Number of changes breaking (Change Type of Parameter)</v>
      </c>
      <c r="AB81" s="16">
        <f t="shared" si="4"/>
        <v>0</v>
      </c>
      <c r="AC81" s="16" t="str">
        <f t="shared" si="5"/>
        <v>Number of changes non-breaking (Add Path)</v>
      </c>
      <c r="AD81" s="16">
        <f t="shared" si="6"/>
        <v>0</v>
      </c>
    </row>
    <row r="82" spans="1:30">
      <c r="A82" s="6" t="s">
        <v>157</v>
      </c>
      <c r="B82">
        <v>200</v>
      </c>
      <c r="C82">
        <v>154</v>
      </c>
      <c r="D82">
        <v>1</v>
      </c>
      <c r="E82">
        <v>0</v>
      </c>
      <c r="F82">
        <v>0</v>
      </c>
      <c r="G82">
        <v>66</v>
      </c>
      <c r="H82">
        <v>0</v>
      </c>
      <c r="I82">
        <v>2</v>
      </c>
      <c r="J82">
        <v>74</v>
      </c>
      <c r="K82">
        <v>0</v>
      </c>
      <c r="L82">
        <v>0</v>
      </c>
      <c r="M82">
        <v>0</v>
      </c>
      <c r="N82">
        <v>11</v>
      </c>
      <c r="O82">
        <v>0</v>
      </c>
      <c r="P82">
        <v>0</v>
      </c>
      <c r="Q82">
        <v>0</v>
      </c>
      <c r="R82">
        <v>46</v>
      </c>
      <c r="S82">
        <v>0</v>
      </c>
      <c r="T82">
        <v>0</v>
      </c>
      <c r="U82">
        <v>0</v>
      </c>
      <c r="V82">
        <v>14</v>
      </c>
      <c r="W82">
        <v>32</v>
      </c>
      <c r="X82">
        <v>0</v>
      </c>
      <c r="Y82">
        <v>0</v>
      </c>
      <c r="Z82">
        <v>0</v>
      </c>
      <c r="AA82" s="16" t="str">
        <f t="shared" si="7"/>
        <v>Number of changes breaking (Decrease Number of Parameters)</v>
      </c>
      <c r="AB82" s="16">
        <f t="shared" si="4"/>
        <v>74</v>
      </c>
      <c r="AC82" s="16" t="str">
        <f t="shared" si="5"/>
        <v>Number of changes non-breaking (Add Path)</v>
      </c>
      <c r="AD82" s="16">
        <f t="shared" si="6"/>
        <v>32</v>
      </c>
    </row>
    <row r="83" spans="1:30">
      <c r="A83" s="6" t="s">
        <v>163</v>
      </c>
      <c r="B83">
        <v>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9</v>
      </c>
      <c r="S83">
        <v>0</v>
      </c>
      <c r="T83">
        <v>0</v>
      </c>
      <c r="U83">
        <v>0</v>
      </c>
      <c r="V83">
        <v>2</v>
      </c>
      <c r="W83">
        <v>7</v>
      </c>
      <c r="X83">
        <v>0</v>
      </c>
      <c r="Y83">
        <v>0</v>
      </c>
      <c r="Z83">
        <v>0</v>
      </c>
      <c r="AA83" s="16" t="str">
        <f t="shared" si="7"/>
        <v>Number of changes breaking (Change Type of Parameter)</v>
      </c>
      <c r="AB83" s="16">
        <f t="shared" si="4"/>
        <v>0</v>
      </c>
      <c r="AC83" s="16" t="str">
        <f t="shared" si="5"/>
        <v>Number of changes non-breaking (Add Path)</v>
      </c>
      <c r="AD83" s="16">
        <f t="shared" si="6"/>
        <v>7</v>
      </c>
    </row>
    <row r="84" spans="1:30">
      <c r="A84" s="6" t="s">
        <v>166</v>
      </c>
      <c r="B84">
        <v>112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112</v>
      </c>
      <c r="S84">
        <v>0</v>
      </c>
      <c r="T84">
        <v>0</v>
      </c>
      <c r="U84">
        <v>0</v>
      </c>
      <c r="V84">
        <v>112</v>
      </c>
      <c r="W84">
        <v>0</v>
      </c>
      <c r="X84">
        <v>0</v>
      </c>
      <c r="Y84">
        <v>0</v>
      </c>
      <c r="Z84">
        <v>0</v>
      </c>
      <c r="AA84" s="16" t="str">
        <f t="shared" si="7"/>
        <v>Number of changes breaking (Change Type of Parameter)</v>
      </c>
      <c r="AB84" s="16">
        <f t="shared" si="4"/>
        <v>0</v>
      </c>
      <c r="AC84" s="16" t="str">
        <f t="shared" si="5"/>
        <v>Number of changes non-breaking (Rename Parameter)</v>
      </c>
      <c r="AD84" s="16">
        <f t="shared" si="6"/>
        <v>112</v>
      </c>
    </row>
    <row r="85" spans="1:30">
      <c r="A85" s="6" t="s">
        <v>169</v>
      </c>
      <c r="B85">
        <v>12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12</v>
      </c>
      <c r="S85">
        <v>0</v>
      </c>
      <c r="T85">
        <v>0</v>
      </c>
      <c r="U85">
        <v>0</v>
      </c>
      <c r="V85">
        <v>12</v>
      </c>
      <c r="W85">
        <v>0</v>
      </c>
      <c r="X85">
        <v>0</v>
      </c>
      <c r="Y85">
        <v>0</v>
      </c>
      <c r="Z85">
        <v>0</v>
      </c>
      <c r="AA85" s="16" t="str">
        <f t="shared" si="7"/>
        <v>Number of changes breaking (Change Type of Parameter)</v>
      </c>
      <c r="AB85" s="16">
        <f t="shared" si="4"/>
        <v>0</v>
      </c>
      <c r="AC85" s="16" t="str">
        <f t="shared" si="5"/>
        <v>Number of changes non-breaking (Rename Parameter)</v>
      </c>
      <c r="AD85" s="16">
        <f t="shared" si="6"/>
        <v>12</v>
      </c>
    </row>
    <row r="86" spans="1:30">
      <c r="A86" s="6" t="s">
        <v>172</v>
      </c>
      <c r="B86">
        <v>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 s="16" t="str">
        <f t="shared" si="7"/>
        <v>Number of changes breaking (Change Type of Parameter)</v>
      </c>
      <c r="AB86" s="16">
        <f t="shared" si="4"/>
        <v>0</v>
      </c>
      <c r="AC86" s="16" t="str">
        <f t="shared" si="5"/>
        <v>Number of changes non-breaking (Rename Parameter)</v>
      </c>
      <c r="AD86" s="16">
        <f t="shared" si="6"/>
        <v>1</v>
      </c>
    </row>
    <row r="87" spans="1:30">
      <c r="A87" s="6" t="s">
        <v>174</v>
      </c>
      <c r="B87">
        <v>13</v>
      </c>
      <c r="C87">
        <v>9</v>
      </c>
      <c r="D87">
        <v>0</v>
      </c>
      <c r="E87">
        <v>0</v>
      </c>
      <c r="F87">
        <v>0</v>
      </c>
      <c r="G87">
        <v>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4</v>
      </c>
      <c r="S87">
        <v>0</v>
      </c>
      <c r="T87">
        <v>0</v>
      </c>
      <c r="U87">
        <v>0</v>
      </c>
      <c r="V87">
        <v>2</v>
      </c>
      <c r="W87">
        <v>2</v>
      </c>
      <c r="X87">
        <v>0</v>
      </c>
      <c r="Y87">
        <v>0</v>
      </c>
      <c r="Z87">
        <v>0</v>
      </c>
      <c r="AA87" s="16" t="str">
        <f t="shared" si="7"/>
        <v>Number of changes breaking (Increase Number of Parameters)</v>
      </c>
      <c r="AB87" s="16">
        <f t="shared" si="4"/>
        <v>9</v>
      </c>
      <c r="AC87" s="16" t="str">
        <f t="shared" si="5"/>
        <v>Number of changes non-breaking (Add Status Code)</v>
      </c>
      <c r="AD87" s="16">
        <f t="shared" si="6"/>
        <v>2</v>
      </c>
    </row>
    <row r="88" spans="1:30">
      <c r="A88" s="6" t="s">
        <v>177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s="16" t="str">
        <f t="shared" si="7"/>
        <v>Number of changes breaking (Change Type of Parameter)</v>
      </c>
      <c r="AB88" s="16">
        <f t="shared" si="4"/>
        <v>0</v>
      </c>
      <c r="AC88" s="16" t="str">
        <f t="shared" si="5"/>
        <v>Number of changes non-breaking (Add Path)</v>
      </c>
      <c r="AD88" s="16">
        <f t="shared" si="6"/>
        <v>0</v>
      </c>
    </row>
    <row r="89" spans="1:30">
      <c r="A89" s="6" t="s">
        <v>179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s="16" t="str">
        <f t="shared" si="7"/>
        <v>Number of changes breaking (Change Type of Parameter)</v>
      </c>
      <c r="AB89" s="16">
        <f t="shared" si="4"/>
        <v>0</v>
      </c>
      <c r="AC89" s="16" t="str">
        <f t="shared" si="5"/>
        <v>Number of changes non-breaking (Add Path)</v>
      </c>
      <c r="AD89" s="16">
        <f t="shared" si="6"/>
        <v>0</v>
      </c>
    </row>
    <row r="90" spans="1:30">
      <c r="A90" s="6" t="s">
        <v>180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 s="16" t="str">
        <f t="shared" si="7"/>
        <v>Number of changes breaking (Change Type of Parameter)</v>
      </c>
      <c r="AB90" s="16">
        <f t="shared" si="4"/>
        <v>0</v>
      </c>
      <c r="AC90" s="16" t="str">
        <f t="shared" si="5"/>
        <v>Number of changes non-breaking (Add Path)</v>
      </c>
      <c r="AD90" s="16">
        <f t="shared" si="6"/>
        <v>0</v>
      </c>
    </row>
    <row r="91" spans="1:30">
      <c r="A91" s="6" t="s">
        <v>181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s="16" t="str">
        <f t="shared" si="7"/>
        <v>Number of changes breaking (Change Type of Parameter)</v>
      </c>
      <c r="AB91" s="16">
        <f t="shared" si="4"/>
        <v>0</v>
      </c>
      <c r="AC91" s="16" t="str">
        <f t="shared" si="5"/>
        <v>Number of changes non-breaking (Add Path)</v>
      </c>
      <c r="AD91" s="16">
        <f t="shared" si="6"/>
        <v>0</v>
      </c>
    </row>
    <row r="92" spans="1:30">
      <c r="A92" s="6" t="s">
        <v>182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s="16" t="str">
        <f t="shared" si="7"/>
        <v>Number of changes breaking (Change Type of Parameter)</v>
      </c>
      <c r="AB92" s="16">
        <f t="shared" si="4"/>
        <v>0</v>
      </c>
      <c r="AC92" s="16" t="str">
        <f t="shared" si="5"/>
        <v>Number of changes non-breaking (Add Path)</v>
      </c>
      <c r="AD92" s="16">
        <f t="shared" si="6"/>
        <v>0</v>
      </c>
    </row>
    <row r="93" spans="1:30">
      <c r="A93" s="6" t="s">
        <v>183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 s="16" t="str">
        <f t="shared" si="7"/>
        <v>Number of changes breaking (Change Type of Parameter)</v>
      </c>
      <c r="AB93" s="16">
        <f t="shared" si="4"/>
        <v>0</v>
      </c>
      <c r="AC93" s="16" t="str">
        <f t="shared" si="5"/>
        <v>Number of changes non-breaking (Add Path)</v>
      </c>
      <c r="AD93" s="16">
        <f t="shared" si="6"/>
        <v>0</v>
      </c>
    </row>
    <row r="94" spans="1:30">
      <c r="A94" s="6" t="s">
        <v>184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s="16" t="str">
        <f t="shared" si="7"/>
        <v>Number of changes breaking (Change Type of Parameter)</v>
      </c>
      <c r="AB94" s="16">
        <f t="shared" si="4"/>
        <v>0</v>
      </c>
      <c r="AC94" s="16" t="str">
        <f t="shared" si="5"/>
        <v>Number of changes non-breaking (Add Path)</v>
      </c>
      <c r="AD94" s="16">
        <f t="shared" si="6"/>
        <v>0</v>
      </c>
    </row>
    <row r="95" spans="1:30">
      <c r="A95" s="6" t="s">
        <v>185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s="16" t="str">
        <f t="shared" si="7"/>
        <v>Number of changes breaking (Change Type of Parameter)</v>
      </c>
      <c r="AB95" s="16">
        <f t="shared" si="4"/>
        <v>0</v>
      </c>
      <c r="AC95" s="16" t="str">
        <f t="shared" si="5"/>
        <v>Number of changes non-breaking (Add Path)</v>
      </c>
      <c r="AD95" s="16">
        <f t="shared" si="6"/>
        <v>0</v>
      </c>
    </row>
    <row r="96" spans="1:30">
      <c r="A96" s="6" t="s">
        <v>187</v>
      </c>
      <c r="B96">
        <v>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6</v>
      </c>
      <c r="S96">
        <v>0</v>
      </c>
      <c r="T96">
        <v>0</v>
      </c>
      <c r="U96">
        <v>0</v>
      </c>
      <c r="V96">
        <v>5</v>
      </c>
      <c r="W96">
        <v>1</v>
      </c>
      <c r="X96">
        <v>0</v>
      </c>
      <c r="Y96">
        <v>0</v>
      </c>
      <c r="Z96">
        <v>0</v>
      </c>
      <c r="AA96" s="16" t="str">
        <f t="shared" si="7"/>
        <v>Number of changes breaking (Change Type of Parameter)</v>
      </c>
      <c r="AB96" s="16">
        <f t="shared" si="4"/>
        <v>0</v>
      </c>
      <c r="AC96" s="16" t="str">
        <f t="shared" si="5"/>
        <v>Number of changes non-breaking (Rename Parameter)</v>
      </c>
      <c r="AD96" s="16">
        <f t="shared" si="6"/>
        <v>5</v>
      </c>
    </row>
    <row r="97" spans="1:30">
      <c r="A97" s="6" t="s">
        <v>190</v>
      </c>
      <c r="B97">
        <v>26</v>
      </c>
      <c r="C97">
        <v>24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24</v>
      </c>
      <c r="O97">
        <v>0</v>
      </c>
      <c r="P97">
        <v>0</v>
      </c>
      <c r="Q97">
        <v>0</v>
      </c>
      <c r="R97">
        <v>2</v>
      </c>
      <c r="S97">
        <v>0</v>
      </c>
      <c r="T97">
        <v>0</v>
      </c>
      <c r="U97">
        <v>0</v>
      </c>
      <c r="V97">
        <v>0</v>
      </c>
      <c r="W97">
        <v>0</v>
      </c>
      <c r="X97">
        <v>2</v>
      </c>
      <c r="Y97">
        <v>0</v>
      </c>
      <c r="Z97">
        <v>0</v>
      </c>
      <c r="AA97" s="16" t="str">
        <f t="shared" si="7"/>
        <v>Number of changes breaking (Remove Status Code)</v>
      </c>
      <c r="AB97" s="16">
        <f t="shared" si="4"/>
        <v>24</v>
      </c>
      <c r="AC97" s="16" t="str">
        <f t="shared" si="5"/>
        <v>Number of changes non-breaking (Remove restricted access to the API)</v>
      </c>
      <c r="AD97" s="16">
        <f t="shared" si="6"/>
        <v>2</v>
      </c>
    </row>
    <row r="98" spans="1:30">
      <c r="A98" s="6" t="s">
        <v>197</v>
      </c>
      <c r="B98">
        <v>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8</v>
      </c>
      <c r="S98">
        <v>0</v>
      </c>
      <c r="T98">
        <v>0</v>
      </c>
      <c r="U98">
        <v>0</v>
      </c>
      <c r="V98">
        <v>8</v>
      </c>
      <c r="W98">
        <v>0</v>
      </c>
      <c r="X98">
        <v>0</v>
      </c>
      <c r="Y98">
        <v>0</v>
      </c>
      <c r="Z98">
        <v>0</v>
      </c>
      <c r="AA98" s="16" t="str">
        <f t="shared" si="7"/>
        <v>Number of changes breaking (Change Type of Parameter)</v>
      </c>
      <c r="AB98" s="16">
        <f t="shared" si="4"/>
        <v>0</v>
      </c>
      <c r="AC98" s="16" t="str">
        <f t="shared" si="5"/>
        <v>Number of changes non-breaking (Rename Parameter)</v>
      </c>
      <c r="AD98" s="16">
        <f t="shared" si="6"/>
        <v>8</v>
      </c>
    </row>
    <row r="99" spans="1:30">
      <c r="A99" s="6" t="s">
        <v>199</v>
      </c>
      <c r="B99">
        <v>45</v>
      </c>
      <c r="C99">
        <v>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8</v>
      </c>
      <c r="M99">
        <v>0</v>
      </c>
      <c r="N99">
        <v>0</v>
      </c>
      <c r="O99">
        <v>0</v>
      </c>
      <c r="P99">
        <v>0</v>
      </c>
      <c r="Q99">
        <v>0</v>
      </c>
      <c r="R99">
        <v>37</v>
      </c>
      <c r="S99">
        <v>0</v>
      </c>
      <c r="T99">
        <v>0</v>
      </c>
      <c r="U99">
        <v>0</v>
      </c>
      <c r="V99">
        <v>37</v>
      </c>
      <c r="W99">
        <v>0</v>
      </c>
      <c r="X99">
        <v>0</v>
      </c>
      <c r="Y99">
        <v>0</v>
      </c>
      <c r="Z99">
        <v>0</v>
      </c>
      <c r="AA99" s="16" t="str">
        <f t="shared" si="7"/>
        <v>Number of changes breaking (Modify Content Type Consume)</v>
      </c>
      <c r="AB99" s="16">
        <f t="shared" si="4"/>
        <v>8</v>
      </c>
      <c r="AC99" s="16" t="str">
        <f t="shared" si="5"/>
        <v>Number of changes non-breaking (Rename Parameter)</v>
      </c>
      <c r="AD99" s="16">
        <f t="shared" si="6"/>
        <v>37</v>
      </c>
    </row>
    <row r="100" spans="1:30">
      <c r="A100" s="6" t="s">
        <v>205</v>
      </c>
      <c r="B100">
        <v>5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4</v>
      </c>
      <c r="S100">
        <v>0</v>
      </c>
      <c r="T100">
        <v>0</v>
      </c>
      <c r="U100">
        <v>0</v>
      </c>
      <c r="V100">
        <v>4</v>
      </c>
      <c r="W100">
        <v>0</v>
      </c>
      <c r="X100">
        <v>0</v>
      </c>
      <c r="Y100">
        <v>0</v>
      </c>
      <c r="Z100">
        <v>0</v>
      </c>
      <c r="AA100" s="16" t="str">
        <f t="shared" si="7"/>
        <v>Number of changes breaking (Remove Status Code)</v>
      </c>
      <c r="AB100" s="16">
        <f t="shared" si="4"/>
        <v>1</v>
      </c>
      <c r="AC100" s="16" t="str">
        <f t="shared" si="5"/>
        <v>Number of changes non-breaking (Rename Parameter)</v>
      </c>
      <c r="AD100" s="16">
        <f t="shared" si="6"/>
        <v>4</v>
      </c>
    </row>
    <row r="101" spans="1:30">
      <c r="A101" s="6" t="s">
        <v>209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s="16" t="str">
        <f t="shared" si="7"/>
        <v>Number of changes breaking (Change Type of Parameter)</v>
      </c>
      <c r="AB101" s="16">
        <f t="shared" si="4"/>
        <v>0</v>
      </c>
      <c r="AC101" s="16" t="str">
        <f t="shared" si="5"/>
        <v>Number of changes non-breaking (Add Path)</v>
      </c>
      <c r="AD101" s="16">
        <f t="shared" si="6"/>
        <v>0</v>
      </c>
    </row>
    <row r="102" spans="1:30">
      <c r="A102" s="6" t="s">
        <v>211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s="16" t="str">
        <f t="shared" si="7"/>
        <v>Number of changes breaking (Change Type of Parameter)</v>
      </c>
      <c r="AB102" s="16">
        <f t="shared" si="4"/>
        <v>0</v>
      </c>
      <c r="AC102" s="16" t="str">
        <f t="shared" si="5"/>
        <v>Number of changes non-breaking (Add Path)</v>
      </c>
      <c r="AD102" s="16">
        <f t="shared" si="6"/>
        <v>0</v>
      </c>
    </row>
    <row r="103" spans="1:30">
      <c r="A103" s="6" t="s">
        <v>212</v>
      </c>
      <c r="B103">
        <v>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2</v>
      </c>
      <c r="S103">
        <v>0</v>
      </c>
      <c r="T103">
        <v>0</v>
      </c>
      <c r="U103">
        <v>0</v>
      </c>
      <c r="V103">
        <v>2</v>
      </c>
      <c r="W103">
        <v>0</v>
      </c>
      <c r="X103">
        <v>0</v>
      </c>
      <c r="Y103">
        <v>0</v>
      </c>
      <c r="Z103">
        <v>0</v>
      </c>
      <c r="AA103" s="16" t="str">
        <f t="shared" si="7"/>
        <v>Number of changes breaking (Change Type of Parameter)</v>
      </c>
      <c r="AB103" s="16">
        <f t="shared" si="4"/>
        <v>0</v>
      </c>
      <c r="AC103" s="16" t="str">
        <f t="shared" si="5"/>
        <v>Number of changes non-breaking (Rename Parameter)</v>
      </c>
      <c r="AD103" s="16">
        <f t="shared" si="6"/>
        <v>2</v>
      </c>
    </row>
    <row r="104" spans="1:30">
      <c r="A104" s="6" t="s">
        <v>214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s="16" t="str">
        <f t="shared" si="7"/>
        <v>Number of changes breaking (Change Type of Parameter)</v>
      </c>
      <c r="AB104" s="16">
        <f t="shared" si="4"/>
        <v>0</v>
      </c>
      <c r="AC104" s="16" t="str">
        <f t="shared" si="5"/>
        <v>Number of changes non-breaking (Add Path)</v>
      </c>
      <c r="AD104" s="16">
        <f t="shared" si="6"/>
        <v>0</v>
      </c>
    </row>
    <row r="105" spans="1:30">
      <c r="A105" s="6" t="s">
        <v>216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s="16" t="str">
        <f t="shared" si="7"/>
        <v>Number of changes breaking (Change Type of Parameter)</v>
      </c>
      <c r="AB105" s="16">
        <f t="shared" si="4"/>
        <v>0</v>
      </c>
      <c r="AC105" s="16" t="str">
        <f t="shared" si="5"/>
        <v>Number of changes non-breaking (Add Path)</v>
      </c>
      <c r="AD105" s="16">
        <f t="shared" si="6"/>
        <v>0</v>
      </c>
    </row>
    <row r="106" spans="1:30">
      <c r="A106" s="6" t="s">
        <v>217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 s="16" t="str">
        <f t="shared" si="7"/>
        <v>Number of changes breaking (Change Type of Parameter)</v>
      </c>
      <c r="AB106" s="16">
        <f t="shared" si="4"/>
        <v>0</v>
      </c>
      <c r="AC106" s="16" t="str">
        <f t="shared" si="5"/>
        <v>Number of changes non-breaking (Add Path)</v>
      </c>
      <c r="AD106" s="16">
        <f t="shared" si="6"/>
        <v>0</v>
      </c>
    </row>
    <row r="107" spans="1:30">
      <c r="A107" s="6" t="s">
        <v>218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s="16" t="str">
        <f t="shared" si="7"/>
        <v>Number of changes breaking (Change Type of Parameter)</v>
      </c>
      <c r="AB107" s="16">
        <f t="shared" si="4"/>
        <v>0</v>
      </c>
      <c r="AC107" s="16" t="str">
        <f t="shared" si="5"/>
        <v>Number of changes non-breaking (Add Path)</v>
      </c>
      <c r="AD107" s="16">
        <f t="shared" si="6"/>
        <v>0</v>
      </c>
    </row>
    <row r="108" spans="1:30">
      <c r="A108" s="6" t="s">
        <v>219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s="16" t="str">
        <f t="shared" si="7"/>
        <v>Number of changes breaking (Change Type of Parameter)</v>
      </c>
      <c r="AB108" s="16">
        <f t="shared" si="4"/>
        <v>0</v>
      </c>
      <c r="AC108" s="16" t="str">
        <f t="shared" si="5"/>
        <v>Number of changes non-breaking (Add Path)</v>
      </c>
      <c r="AD108" s="16">
        <f t="shared" si="6"/>
        <v>0</v>
      </c>
    </row>
    <row r="109" spans="1:30">
      <c r="A109" s="6" t="s">
        <v>220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 s="16" t="str">
        <f t="shared" si="7"/>
        <v>Number of changes breaking (Change Type of Parameter)</v>
      </c>
      <c r="AB109" s="16">
        <f t="shared" si="4"/>
        <v>0</v>
      </c>
      <c r="AC109" s="16" t="str">
        <f t="shared" si="5"/>
        <v>Number of changes non-breaking (Add Path)</v>
      </c>
      <c r="AD109" s="16">
        <f t="shared" si="6"/>
        <v>0</v>
      </c>
    </row>
    <row r="110" spans="1:30">
      <c r="A110" s="6" t="s">
        <v>221</v>
      </c>
      <c r="B110">
        <v>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 s="16" t="str">
        <f t="shared" si="7"/>
        <v>Number of changes breaking (Change Type of Parameter)</v>
      </c>
      <c r="AB110" s="16">
        <f t="shared" si="4"/>
        <v>0</v>
      </c>
      <c r="AC110" s="16" t="str">
        <f t="shared" si="5"/>
        <v>Number of changes non-breaking (Add Path)</v>
      </c>
      <c r="AD110" s="16">
        <f t="shared" si="6"/>
        <v>1</v>
      </c>
    </row>
    <row r="111" spans="1:30">
      <c r="A111" s="6" t="s">
        <v>224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s="16" t="str">
        <f t="shared" si="7"/>
        <v>Number of changes breaking (Change Type of Parameter)</v>
      </c>
      <c r="AB111" s="16">
        <f t="shared" si="4"/>
        <v>0</v>
      </c>
      <c r="AC111" s="16" t="str">
        <f t="shared" si="5"/>
        <v>Number of changes non-breaking (Add Path)</v>
      </c>
      <c r="AD111" s="16">
        <f t="shared" si="6"/>
        <v>0</v>
      </c>
    </row>
    <row r="112" spans="1:30">
      <c r="A112" s="6" t="s">
        <v>226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s="16" t="str">
        <f t="shared" si="7"/>
        <v>Number of changes breaking (Change Type of Parameter)</v>
      </c>
      <c r="AB112" s="16">
        <f t="shared" si="4"/>
        <v>0</v>
      </c>
      <c r="AC112" s="16" t="str">
        <f t="shared" si="5"/>
        <v>Number of changes non-breaking (Add Path)</v>
      </c>
      <c r="AD112" s="16">
        <f t="shared" si="6"/>
        <v>0</v>
      </c>
    </row>
    <row r="113" spans="1:30">
      <c r="A113" s="6" t="s">
        <v>228</v>
      </c>
      <c r="B113">
        <v>17</v>
      </c>
      <c r="C113">
        <v>15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15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2</v>
      </c>
      <c r="S113">
        <v>0</v>
      </c>
      <c r="T113">
        <v>0</v>
      </c>
      <c r="U113">
        <v>0</v>
      </c>
      <c r="V113">
        <v>2</v>
      </c>
      <c r="W113">
        <v>0</v>
      </c>
      <c r="X113">
        <v>0</v>
      </c>
      <c r="Y113">
        <v>0</v>
      </c>
      <c r="Z113">
        <v>0</v>
      </c>
      <c r="AA113" s="16" t="str">
        <f t="shared" si="7"/>
        <v>Number of changes breaking (Decrease Number of Parameters)</v>
      </c>
      <c r="AB113" s="16">
        <f t="shared" si="4"/>
        <v>15</v>
      </c>
      <c r="AC113" s="16" t="str">
        <f t="shared" si="5"/>
        <v>Number of changes non-breaking (Rename Parameter)</v>
      </c>
      <c r="AD113" s="16">
        <f t="shared" si="6"/>
        <v>2</v>
      </c>
    </row>
    <row r="114" spans="1:30">
      <c r="A114" s="6" t="s">
        <v>230</v>
      </c>
      <c r="B114">
        <v>6</v>
      </c>
      <c r="C114">
        <v>6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 s="16" t="str">
        <f t="shared" si="7"/>
        <v>Number of changes breaking (Decrease Number of Parameters)</v>
      </c>
      <c r="AB114" s="16">
        <f t="shared" si="4"/>
        <v>6</v>
      </c>
      <c r="AC114" s="16" t="str">
        <f t="shared" si="5"/>
        <v>Number of changes non-breaking (Add Path)</v>
      </c>
      <c r="AD114" s="16">
        <f t="shared" si="6"/>
        <v>0</v>
      </c>
    </row>
    <row r="115" spans="1:30">
      <c r="A115" s="6" t="s">
        <v>231</v>
      </c>
      <c r="B115">
        <v>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9</v>
      </c>
      <c r="S115">
        <v>0</v>
      </c>
      <c r="T115">
        <v>0</v>
      </c>
      <c r="U115">
        <v>0</v>
      </c>
      <c r="V115">
        <v>9</v>
      </c>
      <c r="W115">
        <v>0</v>
      </c>
      <c r="X115">
        <v>0</v>
      </c>
      <c r="Y115">
        <v>0</v>
      </c>
      <c r="Z115">
        <v>0</v>
      </c>
      <c r="AA115" s="16" t="str">
        <f t="shared" si="7"/>
        <v>Number of changes breaking (Change Type of Parameter)</v>
      </c>
      <c r="AB115" s="16">
        <f t="shared" si="4"/>
        <v>0</v>
      </c>
      <c r="AC115" s="16" t="str">
        <f t="shared" si="5"/>
        <v>Number of changes non-breaking (Rename Parameter)</v>
      </c>
      <c r="AD115" s="16">
        <f t="shared" si="6"/>
        <v>9</v>
      </c>
    </row>
    <row r="116" spans="1:30">
      <c r="A116" s="6" t="s">
        <v>234</v>
      </c>
      <c r="B116">
        <v>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3</v>
      </c>
      <c r="S116">
        <v>0</v>
      </c>
      <c r="T116">
        <v>0</v>
      </c>
      <c r="U116">
        <v>0</v>
      </c>
      <c r="V116">
        <v>3</v>
      </c>
      <c r="W116">
        <v>0</v>
      </c>
      <c r="X116">
        <v>0</v>
      </c>
      <c r="Y116">
        <v>0</v>
      </c>
      <c r="Z116">
        <v>0</v>
      </c>
      <c r="AA116" s="16" t="str">
        <f t="shared" si="7"/>
        <v>Number of changes breaking (Change Type of Parameter)</v>
      </c>
      <c r="AB116" s="16">
        <f t="shared" si="4"/>
        <v>0</v>
      </c>
      <c r="AC116" s="16" t="str">
        <f t="shared" si="5"/>
        <v>Number of changes non-breaking (Rename Parameter)</v>
      </c>
      <c r="AD116" s="16">
        <f t="shared" si="6"/>
        <v>3</v>
      </c>
    </row>
    <row r="117" spans="1:30">
      <c r="A117" s="6" t="s">
        <v>235</v>
      </c>
      <c r="B117">
        <v>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2</v>
      </c>
      <c r="S117">
        <v>0</v>
      </c>
      <c r="T117">
        <v>0</v>
      </c>
      <c r="U117">
        <v>0</v>
      </c>
      <c r="V117">
        <v>2</v>
      </c>
      <c r="W117">
        <v>0</v>
      </c>
      <c r="X117">
        <v>0</v>
      </c>
      <c r="Y117">
        <v>0</v>
      </c>
      <c r="Z117">
        <v>0</v>
      </c>
      <c r="AA117" s="16" t="str">
        <f t="shared" si="7"/>
        <v>Number of changes breaking (Change Type of Parameter)</v>
      </c>
      <c r="AB117" s="16">
        <f t="shared" si="4"/>
        <v>0</v>
      </c>
      <c r="AC117" s="16" t="str">
        <f t="shared" si="5"/>
        <v>Number of changes non-breaking (Rename Parameter)</v>
      </c>
      <c r="AD117" s="16">
        <f t="shared" si="6"/>
        <v>2</v>
      </c>
    </row>
    <row r="118" spans="1:30">
      <c r="A118" s="6" t="s">
        <v>236</v>
      </c>
      <c r="B118">
        <v>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3</v>
      </c>
      <c r="S118">
        <v>0</v>
      </c>
      <c r="T118">
        <v>0</v>
      </c>
      <c r="U118">
        <v>0</v>
      </c>
      <c r="V118">
        <v>3</v>
      </c>
      <c r="W118">
        <v>0</v>
      </c>
      <c r="X118">
        <v>0</v>
      </c>
      <c r="Y118">
        <v>0</v>
      </c>
      <c r="Z118">
        <v>0</v>
      </c>
      <c r="AA118" s="16" t="str">
        <f t="shared" si="7"/>
        <v>Number of changes breaking (Change Type of Parameter)</v>
      </c>
      <c r="AB118" s="16">
        <f t="shared" si="4"/>
        <v>0</v>
      </c>
      <c r="AC118" s="16" t="str">
        <f t="shared" si="5"/>
        <v>Number of changes non-breaking (Rename Parameter)</v>
      </c>
      <c r="AD118" s="16">
        <f t="shared" si="6"/>
        <v>3</v>
      </c>
    </row>
    <row r="119" spans="1:30">
      <c r="A119" s="6" t="s">
        <v>237</v>
      </c>
      <c r="B119">
        <v>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4</v>
      </c>
      <c r="S119">
        <v>0</v>
      </c>
      <c r="T119">
        <v>0</v>
      </c>
      <c r="U119">
        <v>0</v>
      </c>
      <c r="V119">
        <v>4</v>
      </c>
      <c r="W119">
        <v>0</v>
      </c>
      <c r="X119">
        <v>0</v>
      </c>
      <c r="Y119">
        <v>0</v>
      </c>
      <c r="Z119">
        <v>0</v>
      </c>
      <c r="AA119" s="16" t="str">
        <f t="shared" si="7"/>
        <v>Number of changes breaking (Change Type of Parameter)</v>
      </c>
      <c r="AB119" s="16">
        <f t="shared" si="4"/>
        <v>0</v>
      </c>
      <c r="AC119" s="16" t="str">
        <f t="shared" si="5"/>
        <v>Number of changes non-breaking (Rename Parameter)</v>
      </c>
      <c r="AD119" s="16">
        <f t="shared" si="6"/>
        <v>4</v>
      </c>
    </row>
    <row r="120" spans="1:30">
      <c r="A120" s="6" t="s">
        <v>238</v>
      </c>
      <c r="B120">
        <v>21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21</v>
      </c>
      <c r="S120">
        <v>0</v>
      </c>
      <c r="T120">
        <v>0</v>
      </c>
      <c r="U120">
        <v>0</v>
      </c>
      <c r="V120">
        <v>21</v>
      </c>
      <c r="W120">
        <v>0</v>
      </c>
      <c r="X120">
        <v>0</v>
      </c>
      <c r="Y120">
        <v>0</v>
      </c>
      <c r="Z120">
        <v>0</v>
      </c>
      <c r="AA120" s="16" t="str">
        <f t="shared" si="7"/>
        <v>Number of changes breaking (Change Type of Parameter)</v>
      </c>
      <c r="AB120" s="16">
        <f t="shared" si="4"/>
        <v>0</v>
      </c>
      <c r="AC120" s="16" t="str">
        <f t="shared" si="5"/>
        <v>Number of changes non-breaking (Rename Parameter)</v>
      </c>
      <c r="AD120" s="16">
        <f t="shared" si="6"/>
        <v>21</v>
      </c>
    </row>
    <row r="121" spans="1:30">
      <c r="A121" s="6" t="s">
        <v>240</v>
      </c>
      <c r="B121">
        <v>12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12</v>
      </c>
      <c r="S121">
        <v>0</v>
      </c>
      <c r="T121">
        <v>0</v>
      </c>
      <c r="U121">
        <v>0</v>
      </c>
      <c r="V121">
        <v>12</v>
      </c>
      <c r="W121">
        <v>0</v>
      </c>
      <c r="X121">
        <v>0</v>
      </c>
      <c r="Y121">
        <v>0</v>
      </c>
      <c r="Z121">
        <v>0</v>
      </c>
      <c r="AA121" s="16" t="str">
        <f t="shared" si="7"/>
        <v>Number of changes breaking (Change Type of Parameter)</v>
      </c>
      <c r="AB121" s="16">
        <f t="shared" si="4"/>
        <v>0</v>
      </c>
      <c r="AC121" s="16" t="str">
        <f t="shared" si="5"/>
        <v>Number of changes non-breaking (Rename Parameter)</v>
      </c>
      <c r="AD121" s="16">
        <f t="shared" si="6"/>
        <v>12</v>
      </c>
    </row>
    <row r="122" spans="1:30">
      <c r="A122" s="6" t="s">
        <v>245</v>
      </c>
      <c r="B122">
        <v>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2</v>
      </c>
      <c r="S122">
        <v>0</v>
      </c>
      <c r="T122">
        <v>0</v>
      </c>
      <c r="U122">
        <v>0</v>
      </c>
      <c r="V122">
        <v>2</v>
      </c>
      <c r="W122">
        <v>0</v>
      </c>
      <c r="X122">
        <v>0</v>
      </c>
      <c r="Y122">
        <v>0</v>
      </c>
      <c r="Z122">
        <v>0</v>
      </c>
      <c r="AA122" s="16" t="str">
        <f t="shared" si="7"/>
        <v>Number of changes breaking (Change Type of Parameter)</v>
      </c>
      <c r="AB122" s="16">
        <f t="shared" si="4"/>
        <v>0</v>
      </c>
      <c r="AC122" s="16" t="str">
        <f t="shared" si="5"/>
        <v>Number of changes non-breaking (Rename Parameter)</v>
      </c>
      <c r="AD122" s="16">
        <f t="shared" si="6"/>
        <v>2</v>
      </c>
    </row>
    <row r="123" spans="1:30">
      <c r="A123" s="6" t="s">
        <v>247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s="16" t="str">
        <f t="shared" si="7"/>
        <v>Number of changes breaking (Change Type of Parameter)</v>
      </c>
      <c r="AB123" s="16">
        <f t="shared" si="4"/>
        <v>0</v>
      </c>
      <c r="AC123" s="16" t="str">
        <f t="shared" si="5"/>
        <v>Number of changes non-breaking (Add Path)</v>
      </c>
      <c r="AD123" s="16">
        <f t="shared" si="6"/>
        <v>0</v>
      </c>
    </row>
    <row r="124" spans="1:30">
      <c r="A124" s="6" t="s">
        <v>249</v>
      </c>
      <c r="B124">
        <v>1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s="16" t="str">
        <f t="shared" si="7"/>
        <v>Number of changes breaking (Decrease Number of Parameters)</v>
      </c>
      <c r="AB124" s="16">
        <f t="shared" si="4"/>
        <v>1</v>
      </c>
      <c r="AC124" s="16" t="str">
        <f t="shared" si="5"/>
        <v>Number of changes non-breaking (Add Path)</v>
      </c>
      <c r="AD124" s="16">
        <f t="shared" si="6"/>
        <v>0</v>
      </c>
    </row>
    <row r="125" spans="1:30">
      <c r="A125" s="6" t="s">
        <v>252</v>
      </c>
      <c r="B125">
        <v>2</v>
      </c>
      <c r="C125">
        <v>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1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 s="16" t="str">
        <f t="shared" si="7"/>
        <v>Number of changes breaking (Decrease Number of Parameters)</v>
      </c>
      <c r="AB125" s="16">
        <f t="shared" si="4"/>
        <v>1</v>
      </c>
      <c r="AC125" s="16" t="str">
        <f t="shared" si="5"/>
        <v>Number of changes non-breaking (Rename Parameter)</v>
      </c>
      <c r="AD125" s="16">
        <f t="shared" si="6"/>
        <v>1</v>
      </c>
    </row>
    <row r="126" spans="1:30">
      <c r="A126" s="6" t="s">
        <v>254</v>
      </c>
      <c r="B126">
        <v>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3</v>
      </c>
      <c r="S126">
        <v>0</v>
      </c>
      <c r="T126">
        <v>0</v>
      </c>
      <c r="U126">
        <v>0</v>
      </c>
      <c r="V126">
        <v>1</v>
      </c>
      <c r="W126">
        <v>2</v>
      </c>
      <c r="X126">
        <v>0</v>
      </c>
      <c r="Y126">
        <v>0</v>
      </c>
      <c r="Z126">
        <v>0</v>
      </c>
      <c r="AA126" s="16" t="str">
        <f t="shared" si="7"/>
        <v>Number of changes breaking (Change Type of Parameter)</v>
      </c>
      <c r="AB126" s="16">
        <f t="shared" si="4"/>
        <v>0</v>
      </c>
      <c r="AC126" s="16" t="str">
        <f t="shared" si="5"/>
        <v>Number of changes non-breaking (Add Path)</v>
      </c>
      <c r="AD126" s="16">
        <f t="shared" si="6"/>
        <v>2</v>
      </c>
    </row>
    <row r="127" spans="1:30">
      <c r="A127" s="6" t="s">
        <v>256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 s="16" t="str">
        <f t="shared" si="7"/>
        <v>Number of changes breaking (Change Type of Parameter)</v>
      </c>
      <c r="AB127" s="16">
        <f t="shared" si="4"/>
        <v>0</v>
      </c>
      <c r="AC127" s="16" t="str">
        <f t="shared" si="5"/>
        <v>Number of changes non-breaking (Add Path)</v>
      </c>
      <c r="AD127" s="16">
        <f t="shared" si="6"/>
        <v>0</v>
      </c>
    </row>
    <row r="128" spans="1:30">
      <c r="A128" s="6" t="s">
        <v>258</v>
      </c>
      <c r="B128">
        <v>17</v>
      </c>
      <c r="C128">
        <v>15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15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2</v>
      </c>
      <c r="S128">
        <v>0</v>
      </c>
      <c r="T128">
        <v>0</v>
      </c>
      <c r="U128">
        <v>0</v>
      </c>
      <c r="V128">
        <v>2</v>
      </c>
      <c r="W128">
        <v>0</v>
      </c>
      <c r="X128">
        <v>0</v>
      </c>
      <c r="Y128">
        <v>0</v>
      </c>
      <c r="Z128">
        <v>0</v>
      </c>
      <c r="AA128" s="16" t="str">
        <f t="shared" si="7"/>
        <v>Number of changes breaking (Decrease Number of Parameters)</v>
      </c>
      <c r="AB128" s="16">
        <f t="shared" si="4"/>
        <v>15</v>
      </c>
      <c r="AC128" s="16" t="str">
        <f t="shared" si="5"/>
        <v>Number of changes non-breaking (Rename Parameter)</v>
      </c>
      <c r="AD128" s="16">
        <f t="shared" si="6"/>
        <v>2</v>
      </c>
    </row>
    <row r="129" spans="1:30">
      <c r="A129" s="6" t="s">
        <v>259</v>
      </c>
      <c r="B129">
        <v>6</v>
      </c>
      <c r="C129">
        <v>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6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s="16" t="str">
        <f t="shared" si="7"/>
        <v>Number of changes breaking (Decrease Number of Parameters)</v>
      </c>
      <c r="AB129" s="16">
        <f t="shared" si="4"/>
        <v>6</v>
      </c>
      <c r="AC129" s="16" t="str">
        <f t="shared" si="5"/>
        <v>Number of changes non-breaking (Add Path)</v>
      </c>
      <c r="AD129" s="16">
        <f t="shared" si="6"/>
        <v>0</v>
      </c>
    </row>
    <row r="130" spans="1:30">
      <c r="A130" s="6" t="s">
        <v>260</v>
      </c>
      <c r="B130">
        <v>10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10</v>
      </c>
      <c r="S130">
        <v>0</v>
      </c>
      <c r="T130">
        <v>0</v>
      </c>
      <c r="U130">
        <v>0</v>
      </c>
      <c r="V130">
        <v>10</v>
      </c>
      <c r="W130">
        <v>0</v>
      </c>
      <c r="X130">
        <v>0</v>
      </c>
      <c r="Y130">
        <v>0</v>
      </c>
      <c r="Z130">
        <v>0</v>
      </c>
      <c r="AA130" s="16" t="str">
        <f t="shared" si="7"/>
        <v>Number of changes breaking (Change Type of Parameter)</v>
      </c>
      <c r="AB130" s="16">
        <f t="shared" si="4"/>
        <v>0</v>
      </c>
      <c r="AC130" s="16" t="str">
        <f t="shared" si="5"/>
        <v>Number of changes non-breaking (Rename Parameter)</v>
      </c>
      <c r="AD130" s="16">
        <f t="shared" si="6"/>
        <v>10</v>
      </c>
    </row>
    <row r="131" spans="1:30">
      <c r="A131" s="6" t="s">
        <v>263</v>
      </c>
      <c r="B131">
        <v>6</v>
      </c>
      <c r="C131">
        <v>5</v>
      </c>
      <c r="D131">
        <v>0</v>
      </c>
      <c r="E131">
        <v>0</v>
      </c>
      <c r="F131">
        <v>0</v>
      </c>
      <c r="G131">
        <v>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 s="16" t="str">
        <f t="shared" si="7"/>
        <v>Number of changes breaking (Increase Number of Parameters)</v>
      </c>
      <c r="AB131" s="16">
        <f t="shared" ref="AB131:AB194" si="8">MAX(D131:Q131)</f>
        <v>5</v>
      </c>
      <c r="AC131" s="16" t="str">
        <f t="shared" ref="AC131:AC194" si="9">INDEX($S$1:$Z$1,MATCH(AD131,S131:Z131))</f>
        <v>Number of changes non-breaking (Add Path)</v>
      </c>
      <c r="AD131" s="16">
        <f t="shared" ref="AD131:AD194" si="10">MAX(S131:Z131)</f>
        <v>1</v>
      </c>
    </row>
    <row r="132" spans="1:30">
      <c r="A132" s="6" t="s">
        <v>274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s="16" t="str">
        <f t="shared" si="7"/>
        <v>Number of changes breaking (Change Type of Parameter)</v>
      </c>
      <c r="AB132" s="16">
        <f t="shared" si="8"/>
        <v>0</v>
      </c>
      <c r="AC132" s="16" t="str">
        <f t="shared" si="9"/>
        <v>Number of changes non-breaking (Add Path)</v>
      </c>
      <c r="AD132" s="16">
        <f t="shared" si="10"/>
        <v>0</v>
      </c>
    </row>
    <row r="133" spans="1:30">
      <c r="A133" s="6" t="s">
        <v>275</v>
      </c>
      <c r="B133">
        <v>12</v>
      </c>
      <c r="C133">
        <v>5</v>
      </c>
      <c r="D133">
        <v>0</v>
      </c>
      <c r="E133">
        <v>0</v>
      </c>
      <c r="F133">
        <v>0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7</v>
      </c>
      <c r="S133">
        <v>0</v>
      </c>
      <c r="T133">
        <v>0</v>
      </c>
      <c r="U133">
        <v>0</v>
      </c>
      <c r="V133">
        <v>6</v>
      </c>
      <c r="W133">
        <v>1</v>
      </c>
      <c r="X133">
        <v>0</v>
      </c>
      <c r="Y133">
        <v>0</v>
      </c>
      <c r="Z133">
        <v>0</v>
      </c>
      <c r="AA133" s="16" t="str">
        <f t="shared" si="7"/>
        <v>Number of changes breaking (Increase Number of Parameters)</v>
      </c>
      <c r="AB133" s="16">
        <f t="shared" si="8"/>
        <v>5</v>
      </c>
      <c r="AC133" s="16" t="str">
        <f t="shared" si="9"/>
        <v>Number of changes non-breaking (Rename Parameter)</v>
      </c>
      <c r="AD133" s="16">
        <f t="shared" si="10"/>
        <v>6</v>
      </c>
    </row>
    <row r="134" spans="1:30">
      <c r="A134" s="6" t="s">
        <v>276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s="16" t="str">
        <f t="shared" ref="AA134:AA197" si="11">INDEX(D$1:Q$1,MATCH(AB134,D134:Q134,0))</f>
        <v>Number of changes breaking (Change Type of Parameter)</v>
      </c>
      <c r="AB134" s="16">
        <f t="shared" si="8"/>
        <v>0</v>
      </c>
      <c r="AC134" s="16" t="str">
        <f t="shared" si="9"/>
        <v>Number of changes non-breaking (Add Path)</v>
      </c>
      <c r="AD134" s="16">
        <f t="shared" si="10"/>
        <v>0</v>
      </c>
    </row>
    <row r="135" spans="1:30">
      <c r="A135" s="6" t="s">
        <v>277</v>
      </c>
      <c r="B135">
        <v>16</v>
      </c>
      <c r="C135">
        <v>13</v>
      </c>
      <c r="D135">
        <v>0</v>
      </c>
      <c r="E135">
        <v>0</v>
      </c>
      <c r="F135">
        <v>0</v>
      </c>
      <c r="G135">
        <v>5</v>
      </c>
      <c r="H135">
        <v>0</v>
      </c>
      <c r="I135">
        <v>0</v>
      </c>
      <c r="J135">
        <v>5</v>
      </c>
      <c r="K135">
        <v>0</v>
      </c>
      <c r="L135">
        <v>0</v>
      </c>
      <c r="M135">
        <v>0</v>
      </c>
      <c r="N135">
        <v>3</v>
      </c>
      <c r="O135">
        <v>0</v>
      </c>
      <c r="P135">
        <v>0</v>
      </c>
      <c r="Q135">
        <v>0</v>
      </c>
      <c r="R135">
        <v>3</v>
      </c>
      <c r="S135">
        <v>0</v>
      </c>
      <c r="T135">
        <v>0</v>
      </c>
      <c r="U135">
        <v>0</v>
      </c>
      <c r="V135">
        <v>0</v>
      </c>
      <c r="W135">
        <v>3</v>
      </c>
      <c r="X135">
        <v>0</v>
      </c>
      <c r="Y135">
        <v>0</v>
      </c>
      <c r="Z135">
        <v>0</v>
      </c>
      <c r="AA135" s="16" t="str">
        <f t="shared" si="11"/>
        <v>Number of changes breaking (Increase Number of Parameters)</v>
      </c>
      <c r="AB135" s="16">
        <f t="shared" si="8"/>
        <v>5</v>
      </c>
      <c r="AC135" s="16" t="str">
        <f t="shared" si="9"/>
        <v>Number of changes non-breaking (Add Path)</v>
      </c>
      <c r="AD135" s="16">
        <f t="shared" si="10"/>
        <v>3</v>
      </c>
    </row>
    <row r="136" spans="1:30">
      <c r="A136" s="6" t="s">
        <v>278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s="16" t="str">
        <f t="shared" si="11"/>
        <v>Number of changes breaking (Change Type of Parameter)</v>
      </c>
      <c r="AB136" s="16">
        <f t="shared" si="8"/>
        <v>0</v>
      </c>
      <c r="AC136" s="16" t="str">
        <f t="shared" si="9"/>
        <v>Number of changes non-breaking (Add Path)</v>
      </c>
      <c r="AD136" s="16">
        <f t="shared" si="10"/>
        <v>0</v>
      </c>
    </row>
    <row r="137" spans="1:30">
      <c r="A137" s="6" t="s">
        <v>285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s="16" t="str">
        <f t="shared" si="11"/>
        <v>Number of changes breaking (Change Type of Parameter)</v>
      </c>
      <c r="AB137" s="16">
        <f t="shared" si="8"/>
        <v>0</v>
      </c>
      <c r="AC137" s="16" t="str">
        <f t="shared" si="9"/>
        <v>Number of changes non-breaking (Add Path)</v>
      </c>
      <c r="AD137" s="16">
        <f t="shared" si="10"/>
        <v>0</v>
      </c>
    </row>
    <row r="138" spans="1:30">
      <c r="A138" s="6" t="s">
        <v>286</v>
      </c>
      <c r="B138">
        <v>6</v>
      </c>
      <c r="C138">
        <v>5</v>
      </c>
      <c r="D138">
        <v>0</v>
      </c>
      <c r="E138">
        <v>0</v>
      </c>
      <c r="F138">
        <v>0</v>
      </c>
      <c r="G138">
        <v>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1</v>
      </c>
      <c r="X138">
        <v>0</v>
      </c>
      <c r="Y138">
        <v>0</v>
      </c>
      <c r="Z138">
        <v>0</v>
      </c>
      <c r="AA138" s="16" t="str">
        <f t="shared" si="11"/>
        <v>Number of changes breaking (Increase Number of Parameters)</v>
      </c>
      <c r="AB138" s="16">
        <f t="shared" si="8"/>
        <v>5</v>
      </c>
      <c r="AC138" s="16" t="str">
        <f t="shared" si="9"/>
        <v>Number of changes non-breaking (Add Path)</v>
      </c>
      <c r="AD138" s="16">
        <f t="shared" si="10"/>
        <v>1</v>
      </c>
    </row>
    <row r="139" spans="1:30">
      <c r="A139" s="6" t="s">
        <v>287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s="16" t="str">
        <f t="shared" si="11"/>
        <v>Number of changes breaking (Change Type of Parameter)</v>
      </c>
      <c r="AB139" s="16">
        <f t="shared" si="8"/>
        <v>0</v>
      </c>
      <c r="AC139" s="16" t="str">
        <f t="shared" si="9"/>
        <v>Number of changes non-breaking (Add Path)</v>
      </c>
      <c r="AD139" s="16">
        <f t="shared" si="10"/>
        <v>0</v>
      </c>
    </row>
    <row r="140" spans="1:30">
      <c r="A140" s="6" t="s">
        <v>288</v>
      </c>
      <c r="B140">
        <v>50</v>
      </c>
      <c r="C140">
        <v>17</v>
      </c>
      <c r="D140">
        <v>0</v>
      </c>
      <c r="E140">
        <v>0</v>
      </c>
      <c r="F140">
        <v>0</v>
      </c>
      <c r="G140">
        <v>16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33</v>
      </c>
      <c r="S140">
        <v>0</v>
      </c>
      <c r="T140">
        <v>0</v>
      </c>
      <c r="U140">
        <v>0</v>
      </c>
      <c r="V140">
        <v>30</v>
      </c>
      <c r="W140">
        <v>3</v>
      </c>
      <c r="X140">
        <v>0</v>
      </c>
      <c r="Y140">
        <v>0</v>
      </c>
      <c r="Z140">
        <v>0</v>
      </c>
      <c r="AA140" s="16" t="str">
        <f t="shared" si="11"/>
        <v>Number of changes breaking (Increase Number of Parameters)</v>
      </c>
      <c r="AB140" s="16">
        <f t="shared" si="8"/>
        <v>16</v>
      </c>
      <c r="AC140" s="16" t="str">
        <f t="shared" si="9"/>
        <v>Number of changes non-breaking (Rename Parameter)</v>
      </c>
      <c r="AD140" s="16">
        <f t="shared" si="10"/>
        <v>30</v>
      </c>
    </row>
    <row r="141" spans="1:30">
      <c r="A141" s="6" t="s">
        <v>290</v>
      </c>
      <c r="B141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3</v>
      </c>
      <c r="S141">
        <v>0</v>
      </c>
      <c r="T141">
        <v>0</v>
      </c>
      <c r="U141">
        <v>0</v>
      </c>
      <c r="V141">
        <v>3</v>
      </c>
      <c r="W141">
        <v>0</v>
      </c>
      <c r="X141">
        <v>0</v>
      </c>
      <c r="Y141">
        <v>0</v>
      </c>
      <c r="Z141">
        <v>0</v>
      </c>
      <c r="AA141" s="16" t="str">
        <f t="shared" si="11"/>
        <v>Number of changes breaking (Change Type of Parameter)</v>
      </c>
      <c r="AB141" s="16">
        <f t="shared" si="8"/>
        <v>0</v>
      </c>
      <c r="AC141" s="16" t="str">
        <f t="shared" si="9"/>
        <v>Number of changes non-breaking (Rename Parameter)</v>
      </c>
      <c r="AD141" s="16">
        <f t="shared" si="10"/>
        <v>3</v>
      </c>
    </row>
    <row r="142" spans="1:30">
      <c r="A142" s="6" t="s">
        <v>291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s="16" t="str">
        <f t="shared" si="11"/>
        <v>Number of changes breaking (Change Type of Parameter)</v>
      </c>
      <c r="AB142" s="16">
        <f t="shared" si="8"/>
        <v>0</v>
      </c>
      <c r="AC142" s="16" t="str">
        <f t="shared" si="9"/>
        <v>Number of changes non-breaking (Add Path)</v>
      </c>
      <c r="AD142" s="16">
        <f t="shared" si="10"/>
        <v>0</v>
      </c>
    </row>
    <row r="143" spans="1:30">
      <c r="A143" s="6" t="s">
        <v>292</v>
      </c>
      <c r="B143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 s="16" t="str">
        <f t="shared" si="11"/>
        <v>Number of changes breaking (Change Type of Parameter)</v>
      </c>
      <c r="AB143" s="16">
        <f t="shared" si="8"/>
        <v>0</v>
      </c>
      <c r="AC143" s="16" t="str">
        <f t="shared" si="9"/>
        <v>Number of changes non-breaking (Rename Parameter)</v>
      </c>
      <c r="AD143" s="16">
        <f t="shared" si="10"/>
        <v>1</v>
      </c>
    </row>
    <row r="144" spans="1:30">
      <c r="A144" s="6" t="s">
        <v>293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s="16" t="str">
        <f t="shared" si="11"/>
        <v>Number of changes breaking (Change Type of Parameter)</v>
      </c>
      <c r="AB144" s="16">
        <f t="shared" si="8"/>
        <v>0</v>
      </c>
      <c r="AC144" s="16" t="str">
        <f t="shared" si="9"/>
        <v>Number of changes non-breaking (Add Path)</v>
      </c>
      <c r="AD144" s="16">
        <f t="shared" si="10"/>
        <v>0</v>
      </c>
    </row>
    <row r="145" spans="1:30">
      <c r="A145" s="6" t="s">
        <v>294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s="16" t="str">
        <f t="shared" si="11"/>
        <v>Number of changes breaking (Change Type of Parameter)</v>
      </c>
      <c r="AB145" s="16">
        <f t="shared" si="8"/>
        <v>0</v>
      </c>
      <c r="AC145" s="16" t="str">
        <f t="shared" si="9"/>
        <v>Number of changes non-breaking (Add Path)</v>
      </c>
      <c r="AD145" s="16">
        <f t="shared" si="10"/>
        <v>0</v>
      </c>
    </row>
    <row r="146" spans="1:30">
      <c r="A146" s="6" t="s">
        <v>295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 s="16" t="str">
        <f t="shared" si="11"/>
        <v>Number of changes breaking (Change Type of Parameter)</v>
      </c>
      <c r="AB146" s="16">
        <f t="shared" si="8"/>
        <v>0</v>
      </c>
      <c r="AC146" s="16" t="str">
        <f t="shared" si="9"/>
        <v>Number of changes non-breaking (Add Path)</v>
      </c>
      <c r="AD146" s="16">
        <f t="shared" si="10"/>
        <v>0</v>
      </c>
    </row>
    <row r="147" spans="1:30">
      <c r="A147" s="6" t="s">
        <v>297</v>
      </c>
      <c r="B147">
        <v>42</v>
      </c>
      <c r="C147">
        <v>11</v>
      </c>
      <c r="D147">
        <v>0</v>
      </c>
      <c r="E147">
        <v>0</v>
      </c>
      <c r="F147">
        <v>0</v>
      </c>
      <c r="G147">
        <v>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31</v>
      </c>
      <c r="S147">
        <v>0</v>
      </c>
      <c r="T147">
        <v>0</v>
      </c>
      <c r="U147">
        <v>0</v>
      </c>
      <c r="V147">
        <v>13</v>
      </c>
      <c r="W147">
        <v>18</v>
      </c>
      <c r="X147">
        <v>0</v>
      </c>
      <c r="Y147">
        <v>0</v>
      </c>
      <c r="Z147">
        <v>0</v>
      </c>
      <c r="AA147" s="16" t="str">
        <f t="shared" si="11"/>
        <v>Number of changes breaking (Increase Number of Parameters)</v>
      </c>
      <c r="AB147" s="16">
        <f t="shared" si="8"/>
        <v>11</v>
      </c>
      <c r="AC147" s="16" t="str">
        <f t="shared" si="9"/>
        <v>Number of changes non-breaking (Add Path)</v>
      </c>
      <c r="AD147" s="16">
        <f t="shared" si="10"/>
        <v>18</v>
      </c>
    </row>
    <row r="148" spans="1:30">
      <c r="A148" s="6" t="s">
        <v>298</v>
      </c>
      <c r="B148">
        <v>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 s="16" t="str">
        <f t="shared" si="11"/>
        <v>Number of changes breaking (Change Type of Parameter)</v>
      </c>
      <c r="AB148" s="16">
        <f t="shared" si="8"/>
        <v>0</v>
      </c>
      <c r="AC148" s="16" t="str">
        <f t="shared" si="9"/>
        <v>Number of changes non-breaking (Rename Parameter)</v>
      </c>
      <c r="AD148" s="16">
        <f t="shared" si="10"/>
        <v>1</v>
      </c>
    </row>
    <row r="149" spans="1:30">
      <c r="A149" s="6" t="s">
        <v>299</v>
      </c>
      <c r="B149">
        <v>15</v>
      </c>
      <c r="C149">
        <v>4</v>
      </c>
      <c r="D149">
        <v>0</v>
      </c>
      <c r="E149">
        <v>0</v>
      </c>
      <c r="F149">
        <v>0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11</v>
      </c>
      <c r="S149">
        <v>0</v>
      </c>
      <c r="T149">
        <v>0</v>
      </c>
      <c r="U149">
        <v>0</v>
      </c>
      <c r="V149">
        <v>4</v>
      </c>
      <c r="W149">
        <v>7</v>
      </c>
      <c r="X149">
        <v>0</v>
      </c>
      <c r="Y149">
        <v>0</v>
      </c>
      <c r="Z149">
        <v>0</v>
      </c>
      <c r="AA149" s="16" t="str">
        <f t="shared" si="11"/>
        <v>Number of changes breaking (Increase Number of Parameters)</v>
      </c>
      <c r="AB149" s="16">
        <f t="shared" si="8"/>
        <v>4</v>
      </c>
      <c r="AC149" s="16" t="str">
        <f t="shared" si="9"/>
        <v>Number of changes non-breaking (Add Path)</v>
      </c>
      <c r="AD149" s="16">
        <f t="shared" si="10"/>
        <v>7</v>
      </c>
    </row>
    <row r="150" spans="1:30">
      <c r="A150" s="6" t="s">
        <v>300</v>
      </c>
      <c r="B150">
        <v>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3</v>
      </c>
      <c r="S150">
        <v>0</v>
      </c>
      <c r="T150">
        <v>0</v>
      </c>
      <c r="U150">
        <v>0</v>
      </c>
      <c r="V150">
        <v>3</v>
      </c>
      <c r="W150">
        <v>0</v>
      </c>
      <c r="X150">
        <v>0</v>
      </c>
      <c r="Y150">
        <v>0</v>
      </c>
      <c r="Z150">
        <v>0</v>
      </c>
      <c r="AA150" s="16" t="str">
        <f t="shared" si="11"/>
        <v>Number of changes breaking (Change Type of Parameter)</v>
      </c>
      <c r="AB150" s="16">
        <f t="shared" si="8"/>
        <v>0</v>
      </c>
      <c r="AC150" s="16" t="str">
        <f t="shared" si="9"/>
        <v>Number of changes non-breaking (Rename Parameter)</v>
      </c>
      <c r="AD150" s="16">
        <f t="shared" si="10"/>
        <v>3</v>
      </c>
    </row>
    <row r="151" spans="1:30">
      <c r="A151" s="6" t="s">
        <v>301</v>
      </c>
      <c r="B151">
        <v>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2</v>
      </c>
      <c r="S151">
        <v>0</v>
      </c>
      <c r="T151">
        <v>0</v>
      </c>
      <c r="U151">
        <v>0</v>
      </c>
      <c r="V151">
        <v>2</v>
      </c>
      <c r="W151">
        <v>0</v>
      </c>
      <c r="X151">
        <v>0</v>
      </c>
      <c r="Y151">
        <v>0</v>
      </c>
      <c r="Z151">
        <v>0</v>
      </c>
      <c r="AA151" s="16" t="str">
        <f t="shared" si="11"/>
        <v>Number of changes breaking (Change Type of Parameter)</v>
      </c>
      <c r="AB151" s="16">
        <f t="shared" si="8"/>
        <v>0</v>
      </c>
      <c r="AC151" s="16" t="str">
        <f t="shared" si="9"/>
        <v>Number of changes non-breaking (Rename Parameter)</v>
      </c>
      <c r="AD151" s="16">
        <f t="shared" si="10"/>
        <v>2</v>
      </c>
    </row>
    <row r="152" spans="1:30">
      <c r="A152" s="6" t="s">
        <v>302</v>
      </c>
      <c r="B152">
        <v>319</v>
      </c>
      <c r="C152">
        <v>126</v>
      </c>
      <c r="D152">
        <v>0</v>
      </c>
      <c r="E152">
        <v>0</v>
      </c>
      <c r="F152">
        <v>0</v>
      </c>
      <c r="G152">
        <v>66</v>
      </c>
      <c r="H152">
        <v>0</v>
      </c>
      <c r="I152">
        <v>6</v>
      </c>
      <c r="J152">
        <v>35</v>
      </c>
      <c r="K152">
        <v>0</v>
      </c>
      <c r="L152">
        <v>0</v>
      </c>
      <c r="M152">
        <v>0</v>
      </c>
      <c r="N152">
        <v>19</v>
      </c>
      <c r="O152">
        <v>0</v>
      </c>
      <c r="P152">
        <v>0</v>
      </c>
      <c r="Q152">
        <v>0</v>
      </c>
      <c r="R152">
        <v>193</v>
      </c>
      <c r="S152">
        <v>0</v>
      </c>
      <c r="T152">
        <v>0</v>
      </c>
      <c r="U152">
        <v>0</v>
      </c>
      <c r="V152">
        <v>129</v>
      </c>
      <c r="W152">
        <v>64</v>
      </c>
      <c r="X152">
        <v>0</v>
      </c>
      <c r="Y152">
        <v>0</v>
      </c>
      <c r="Z152">
        <v>0</v>
      </c>
      <c r="AA152" s="16" t="str">
        <f t="shared" si="11"/>
        <v>Number of changes breaking (Increase Number of Parameters)</v>
      </c>
      <c r="AB152" s="16">
        <f t="shared" si="8"/>
        <v>66</v>
      </c>
      <c r="AC152" s="16" t="str">
        <f t="shared" si="9"/>
        <v>Number of changes non-breaking (Rename Parameter)</v>
      </c>
      <c r="AD152" s="16">
        <f t="shared" si="10"/>
        <v>129</v>
      </c>
    </row>
    <row r="153" spans="1:30">
      <c r="A153" s="6" t="s">
        <v>304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s="16" t="str">
        <f t="shared" si="11"/>
        <v>Number of changes breaking (Change Type of Parameter)</v>
      </c>
      <c r="AB153" s="16">
        <f t="shared" si="8"/>
        <v>0</v>
      </c>
      <c r="AC153" s="16" t="str">
        <f t="shared" si="9"/>
        <v>Number of changes non-breaking (Add Path)</v>
      </c>
      <c r="AD153" s="16">
        <f t="shared" si="10"/>
        <v>0</v>
      </c>
    </row>
    <row r="154" spans="1:30">
      <c r="A154" s="6" t="s">
        <v>305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 s="16" t="str">
        <f t="shared" si="11"/>
        <v>Number of changes breaking (Change Type of Parameter)</v>
      </c>
      <c r="AB154" s="16">
        <f t="shared" si="8"/>
        <v>0</v>
      </c>
      <c r="AC154" s="16" t="str">
        <f t="shared" si="9"/>
        <v>Number of changes non-breaking (Add Path)</v>
      </c>
      <c r="AD154" s="16">
        <f t="shared" si="10"/>
        <v>0</v>
      </c>
    </row>
    <row r="155" spans="1:30">
      <c r="A155" s="6" t="s">
        <v>306</v>
      </c>
      <c r="B155">
        <v>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4</v>
      </c>
      <c r="S155">
        <v>0</v>
      </c>
      <c r="T155">
        <v>0</v>
      </c>
      <c r="U155">
        <v>0</v>
      </c>
      <c r="V155">
        <v>4</v>
      </c>
      <c r="W155">
        <v>0</v>
      </c>
      <c r="X155">
        <v>0</v>
      </c>
      <c r="Y155">
        <v>0</v>
      </c>
      <c r="Z155">
        <v>0</v>
      </c>
      <c r="AA155" s="16" t="str">
        <f t="shared" si="11"/>
        <v>Number of changes breaking (Change Type of Parameter)</v>
      </c>
      <c r="AB155" s="16">
        <f t="shared" si="8"/>
        <v>0</v>
      </c>
      <c r="AC155" s="16" t="str">
        <f t="shared" si="9"/>
        <v>Number of changes non-breaking (Rename Parameter)</v>
      </c>
      <c r="AD155" s="16">
        <f t="shared" si="10"/>
        <v>4</v>
      </c>
    </row>
    <row r="156" spans="1:30">
      <c r="A156" s="6" t="s">
        <v>307</v>
      </c>
      <c r="B156">
        <v>10</v>
      </c>
      <c r="C156">
        <v>3</v>
      </c>
      <c r="D156">
        <v>0</v>
      </c>
      <c r="E156">
        <v>0</v>
      </c>
      <c r="F156">
        <v>0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7</v>
      </c>
      <c r="S156">
        <v>0</v>
      </c>
      <c r="T156">
        <v>0</v>
      </c>
      <c r="U156">
        <v>0</v>
      </c>
      <c r="V156">
        <v>6</v>
      </c>
      <c r="W156">
        <v>1</v>
      </c>
      <c r="X156">
        <v>0</v>
      </c>
      <c r="Y156">
        <v>0</v>
      </c>
      <c r="Z156">
        <v>0</v>
      </c>
      <c r="AA156" s="16" t="str">
        <f t="shared" si="11"/>
        <v>Number of changes breaking (Increase Number of Parameters)</v>
      </c>
      <c r="AB156" s="16">
        <f t="shared" si="8"/>
        <v>3</v>
      </c>
      <c r="AC156" s="16" t="str">
        <f t="shared" si="9"/>
        <v>Number of changes non-breaking (Rename Parameter)</v>
      </c>
      <c r="AD156" s="16">
        <f t="shared" si="10"/>
        <v>6</v>
      </c>
    </row>
    <row r="157" spans="1:30">
      <c r="A157" s="6" t="s">
        <v>308</v>
      </c>
      <c r="B157">
        <v>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1</v>
      </c>
      <c r="S157">
        <v>0</v>
      </c>
      <c r="T157">
        <v>0</v>
      </c>
      <c r="U157">
        <v>0</v>
      </c>
      <c r="V157">
        <v>1</v>
      </c>
      <c r="W157">
        <v>0</v>
      </c>
      <c r="X157">
        <v>0</v>
      </c>
      <c r="Y157">
        <v>0</v>
      </c>
      <c r="Z157">
        <v>0</v>
      </c>
      <c r="AA157" s="16" t="str">
        <f t="shared" si="11"/>
        <v>Number of changes breaking (Change Type of Parameter)</v>
      </c>
      <c r="AB157" s="16">
        <f t="shared" si="8"/>
        <v>0</v>
      </c>
      <c r="AC157" s="16" t="str">
        <f t="shared" si="9"/>
        <v>Number of changes non-breaking (Rename Parameter)</v>
      </c>
      <c r="AD157" s="16">
        <f t="shared" si="10"/>
        <v>1</v>
      </c>
    </row>
    <row r="158" spans="1:30">
      <c r="A158" s="6" t="s">
        <v>309</v>
      </c>
      <c r="B158">
        <v>8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8</v>
      </c>
      <c r="S158">
        <v>0</v>
      </c>
      <c r="T158">
        <v>0</v>
      </c>
      <c r="U158">
        <v>0</v>
      </c>
      <c r="V158">
        <v>8</v>
      </c>
      <c r="W158">
        <v>0</v>
      </c>
      <c r="X158">
        <v>0</v>
      </c>
      <c r="Y158">
        <v>0</v>
      </c>
      <c r="Z158">
        <v>0</v>
      </c>
      <c r="AA158" s="16" t="str">
        <f t="shared" si="11"/>
        <v>Number of changes breaking (Change Type of Parameter)</v>
      </c>
      <c r="AB158" s="16">
        <f t="shared" si="8"/>
        <v>0</v>
      </c>
      <c r="AC158" s="16" t="str">
        <f t="shared" si="9"/>
        <v>Number of changes non-breaking (Rename Parameter)</v>
      </c>
      <c r="AD158" s="16">
        <f t="shared" si="10"/>
        <v>8</v>
      </c>
    </row>
    <row r="159" spans="1:30">
      <c r="A159" s="6" t="s">
        <v>310</v>
      </c>
      <c r="B159">
        <v>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4</v>
      </c>
      <c r="S159">
        <v>0</v>
      </c>
      <c r="T159">
        <v>0</v>
      </c>
      <c r="U159">
        <v>0</v>
      </c>
      <c r="V159">
        <v>4</v>
      </c>
      <c r="W159">
        <v>0</v>
      </c>
      <c r="X159">
        <v>0</v>
      </c>
      <c r="Y159">
        <v>0</v>
      </c>
      <c r="Z159">
        <v>0</v>
      </c>
      <c r="AA159" s="16" t="str">
        <f t="shared" si="11"/>
        <v>Number of changes breaking (Change Type of Parameter)</v>
      </c>
      <c r="AB159" s="16">
        <f t="shared" si="8"/>
        <v>0</v>
      </c>
      <c r="AC159" s="16" t="str">
        <f t="shared" si="9"/>
        <v>Number of changes non-breaking (Rename Parameter)</v>
      </c>
      <c r="AD159" s="16">
        <f t="shared" si="10"/>
        <v>4</v>
      </c>
    </row>
    <row r="160" spans="1:30">
      <c r="A160" s="6" t="s">
        <v>311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s="16" t="str">
        <f t="shared" si="11"/>
        <v>Number of changes breaking (Change Type of Parameter)</v>
      </c>
      <c r="AB160" s="16">
        <f t="shared" si="8"/>
        <v>0</v>
      </c>
      <c r="AC160" s="16" t="str">
        <f t="shared" si="9"/>
        <v>Number of changes non-breaking (Add Path)</v>
      </c>
      <c r="AD160" s="16">
        <f t="shared" si="10"/>
        <v>0</v>
      </c>
    </row>
    <row r="161" spans="1:30">
      <c r="A161" s="6" t="s">
        <v>312</v>
      </c>
      <c r="B161">
        <v>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2</v>
      </c>
      <c r="S161">
        <v>0</v>
      </c>
      <c r="T161">
        <v>0</v>
      </c>
      <c r="U161">
        <v>0</v>
      </c>
      <c r="V161">
        <v>2</v>
      </c>
      <c r="W161">
        <v>0</v>
      </c>
      <c r="X161">
        <v>0</v>
      </c>
      <c r="Y161">
        <v>0</v>
      </c>
      <c r="Z161">
        <v>0</v>
      </c>
      <c r="AA161" s="16" t="str">
        <f t="shared" si="11"/>
        <v>Number of changes breaking (Change Type of Parameter)</v>
      </c>
      <c r="AB161" s="16">
        <f t="shared" si="8"/>
        <v>0</v>
      </c>
      <c r="AC161" s="16" t="str">
        <f t="shared" si="9"/>
        <v>Number of changes non-breaking (Rename Parameter)</v>
      </c>
      <c r="AD161" s="16">
        <f t="shared" si="10"/>
        <v>2</v>
      </c>
    </row>
    <row r="162" spans="1:30">
      <c r="A162" s="6" t="s">
        <v>313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s="16" t="str">
        <f t="shared" si="11"/>
        <v>Number of changes breaking (Change Type of Parameter)</v>
      </c>
      <c r="AB162" s="16">
        <f t="shared" si="8"/>
        <v>0</v>
      </c>
      <c r="AC162" s="16" t="str">
        <f t="shared" si="9"/>
        <v>Number of changes non-breaking (Add Path)</v>
      </c>
      <c r="AD162" s="16">
        <f t="shared" si="10"/>
        <v>0</v>
      </c>
    </row>
    <row r="163" spans="1:30">
      <c r="A163" s="6" t="s">
        <v>314</v>
      </c>
      <c r="B163">
        <v>3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3</v>
      </c>
      <c r="S163">
        <v>0</v>
      </c>
      <c r="T163">
        <v>0</v>
      </c>
      <c r="U163">
        <v>0</v>
      </c>
      <c r="V163">
        <v>3</v>
      </c>
      <c r="W163">
        <v>0</v>
      </c>
      <c r="X163">
        <v>0</v>
      </c>
      <c r="Y163">
        <v>0</v>
      </c>
      <c r="Z163">
        <v>0</v>
      </c>
      <c r="AA163" s="16" t="str">
        <f t="shared" si="11"/>
        <v>Number of changes breaking (Change Type of Parameter)</v>
      </c>
      <c r="AB163" s="16">
        <f t="shared" si="8"/>
        <v>0</v>
      </c>
      <c r="AC163" s="16" t="str">
        <f t="shared" si="9"/>
        <v>Number of changes non-breaking (Rename Parameter)</v>
      </c>
      <c r="AD163" s="16">
        <f t="shared" si="10"/>
        <v>3</v>
      </c>
    </row>
    <row r="164" spans="1:30">
      <c r="A164" s="6" t="s">
        <v>315</v>
      </c>
      <c r="B164">
        <v>61</v>
      </c>
      <c r="C164">
        <v>22</v>
      </c>
      <c r="D164">
        <v>0</v>
      </c>
      <c r="E164">
        <v>0</v>
      </c>
      <c r="F164">
        <v>0</v>
      </c>
      <c r="G164">
        <v>22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39</v>
      </c>
      <c r="S164">
        <v>0</v>
      </c>
      <c r="T164">
        <v>0</v>
      </c>
      <c r="U164">
        <v>0</v>
      </c>
      <c r="V164">
        <v>33</v>
      </c>
      <c r="W164">
        <v>6</v>
      </c>
      <c r="X164">
        <v>0</v>
      </c>
      <c r="Y164">
        <v>0</v>
      </c>
      <c r="Z164">
        <v>0</v>
      </c>
      <c r="AA164" s="16" t="str">
        <f t="shared" si="11"/>
        <v>Number of changes breaking (Increase Number of Parameters)</v>
      </c>
      <c r="AB164" s="16">
        <f t="shared" si="8"/>
        <v>22</v>
      </c>
      <c r="AC164" s="16" t="str">
        <f t="shared" si="9"/>
        <v>Number of changes non-breaking (Rename Parameter)</v>
      </c>
      <c r="AD164" s="16">
        <f t="shared" si="10"/>
        <v>33</v>
      </c>
    </row>
    <row r="165" spans="1:30">
      <c r="A165" s="6" t="s">
        <v>316</v>
      </c>
      <c r="B165">
        <v>140</v>
      </c>
      <c r="C165">
        <v>43</v>
      </c>
      <c r="D165">
        <v>0</v>
      </c>
      <c r="E165">
        <v>0</v>
      </c>
      <c r="F165">
        <v>0</v>
      </c>
      <c r="G165">
        <v>32</v>
      </c>
      <c r="H165">
        <v>0</v>
      </c>
      <c r="I165">
        <v>5</v>
      </c>
      <c r="J165">
        <v>4</v>
      </c>
      <c r="K165">
        <v>0</v>
      </c>
      <c r="L165">
        <v>0</v>
      </c>
      <c r="M165">
        <v>0</v>
      </c>
      <c r="N165">
        <v>2</v>
      </c>
      <c r="O165">
        <v>0</v>
      </c>
      <c r="P165">
        <v>0</v>
      </c>
      <c r="Q165">
        <v>0</v>
      </c>
      <c r="R165">
        <v>97</v>
      </c>
      <c r="S165">
        <v>0</v>
      </c>
      <c r="T165">
        <v>0</v>
      </c>
      <c r="U165">
        <v>0</v>
      </c>
      <c r="V165">
        <v>78</v>
      </c>
      <c r="W165">
        <v>19</v>
      </c>
      <c r="X165">
        <v>0</v>
      </c>
      <c r="Y165">
        <v>0</v>
      </c>
      <c r="Z165">
        <v>0</v>
      </c>
      <c r="AA165" s="16" t="str">
        <f t="shared" si="11"/>
        <v>Number of changes breaking (Increase Number of Parameters)</v>
      </c>
      <c r="AB165" s="16">
        <f t="shared" si="8"/>
        <v>32</v>
      </c>
      <c r="AC165" s="16" t="str">
        <f t="shared" si="9"/>
        <v>Number of changes non-breaking (Rename Parameter)</v>
      </c>
      <c r="AD165" s="16">
        <f t="shared" si="10"/>
        <v>78</v>
      </c>
    </row>
    <row r="166" spans="1:30">
      <c r="A166" s="6" t="s">
        <v>317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s="16" t="str">
        <f t="shared" si="11"/>
        <v>Number of changes breaking (Change Type of Parameter)</v>
      </c>
      <c r="AB166" s="16">
        <f t="shared" si="8"/>
        <v>0</v>
      </c>
      <c r="AC166" s="16" t="str">
        <f t="shared" si="9"/>
        <v>Number of changes non-breaking (Add Path)</v>
      </c>
      <c r="AD166" s="16">
        <f t="shared" si="10"/>
        <v>0</v>
      </c>
    </row>
    <row r="167" spans="1:30">
      <c r="A167" s="6" t="s">
        <v>318</v>
      </c>
      <c r="B167">
        <v>15</v>
      </c>
      <c r="C167">
        <v>14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11</v>
      </c>
      <c r="K167">
        <v>0</v>
      </c>
      <c r="L167">
        <v>0</v>
      </c>
      <c r="M167">
        <v>0</v>
      </c>
      <c r="N167">
        <v>3</v>
      </c>
      <c r="O167">
        <v>0</v>
      </c>
      <c r="P167">
        <v>0</v>
      </c>
      <c r="Q167">
        <v>0</v>
      </c>
      <c r="R167">
        <v>1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 s="16" t="str">
        <f t="shared" si="11"/>
        <v>Number of changes breaking (Decrease Number of Parameters)</v>
      </c>
      <c r="AB167" s="16">
        <f t="shared" si="8"/>
        <v>11</v>
      </c>
      <c r="AC167" s="16" t="str">
        <f t="shared" si="9"/>
        <v>Number of changes non-breaking (Rename Parameter)</v>
      </c>
      <c r="AD167" s="16">
        <f t="shared" si="10"/>
        <v>1</v>
      </c>
    </row>
    <row r="168" spans="1:30">
      <c r="A168" s="6" t="s">
        <v>319</v>
      </c>
      <c r="B168">
        <v>187</v>
      </c>
      <c r="C168">
        <v>82</v>
      </c>
      <c r="D168">
        <v>0</v>
      </c>
      <c r="E168">
        <v>0</v>
      </c>
      <c r="F168">
        <v>0</v>
      </c>
      <c r="G168">
        <v>80</v>
      </c>
      <c r="H168">
        <v>0</v>
      </c>
      <c r="I168">
        <v>2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105</v>
      </c>
      <c r="S168">
        <v>0</v>
      </c>
      <c r="T168">
        <v>0</v>
      </c>
      <c r="U168">
        <v>0</v>
      </c>
      <c r="V168">
        <v>62</v>
      </c>
      <c r="W168">
        <v>43</v>
      </c>
      <c r="X168">
        <v>0</v>
      </c>
      <c r="Y168">
        <v>0</v>
      </c>
      <c r="Z168">
        <v>0</v>
      </c>
      <c r="AA168" s="16" t="str">
        <f t="shared" si="11"/>
        <v>Number of changes breaking (Increase Number of Parameters)</v>
      </c>
      <c r="AB168" s="16">
        <f t="shared" si="8"/>
        <v>80</v>
      </c>
      <c r="AC168" s="16" t="str">
        <f t="shared" si="9"/>
        <v>Number of changes non-breaking (Rename Parameter)</v>
      </c>
      <c r="AD168" s="16">
        <f t="shared" si="10"/>
        <v>62</v>
      </c>
    </row>
    <row r="169" spans="1:30">
      <c r="A169" s="6" t="s">
        <v>320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s="16" t="str">
        <f t="shared" si="11"/>
        <v>Number of changes breaking (Change Type of Parameter)</v>
      </c>
      <c r="AB169" s="16">
        <f t="shared" si="8"/>
        <v>0</v>
      </c>
      <c r="AC169" s="16" t="str">
        <f t="shared" si="9"/>
        <v>Number of changes non-breaking (Add Path)</v>
      </c>
      <c r="AD169" s="16">
        <f t="shared" si="10"/>
        <v>0</v>
      </c>
    </row>
    <row r="170" spans="1:30">
      <c r="A170" s="6" t="s">
        <v>322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s="16" t="str">
        <f t="shared" si="11"/>
        <v>Number of changes breaking (Change Type of Parameter)</v>
      </c>
      <c r="AB170" s="16">
        <f t="shared" si="8"/>
        <v>0</v>
      </c>
      <c r="AC170" s="16" t="str">
        <f t="shared" si="9"/>
        <v>Number of changes non-breaking (Add Path)</v>
      </c>
      <c r="AD170" s="16">
        <f t="shared" si="10"/>
        <v>0</v>
      </c>
    </row>
    <row r="171" spans="1:30">
      <c r="A171" s="6" t="s">
        <v>323</v>
      </c>
      <c r="B171">
        <v>3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3</v>
      </c>
      <c r="S171">
        <v>0</v>
      </c>
      <c r="T171">
        <v>0</v>
      </c>
      <c r="U171">
        <v>0</v>
      </c>
      <c r="V171">
        <v>3</v>
      </c>
      <c r="W171">
        <v>0</v>
      </c>
      <c r="X171">
        <v>0</v>
      </c>
      <c r="Y171">
        <v>0</v>
      </c>
      <c r="Z171">
        <v>0</v>
      </c>
      <c r="AA171" s="16" t="str">
        <f t="shared" si="11"/>
        <v>Number of changes breaking (Change Type of Parameter)</v>
      </c>
      <c r="AB171" s="16">
        <f t="shared" si="8"/>
        <v>0</v>
      </c>
      <c r="AC171" s="16" t="str">
        <f t="shared" si="9"/>
        <v>Number of changes non-breaking (Rename Parameter)</v>
      </c>
      <c r="AD171" s="16">
        <f t="shared" si="10"/>
        <v>3</v>
      </c>
    </row>
    <row r="172" spans="1:30">
      <c r="A172" s="6" t="s">
        <v>325</v>
      </c>
      <c r="B172">
        <v>2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2</v>
      </c>
      <c r="S172">
        <v>0</v>
      </c>
      <c r="T172">
        <v>0</v>
      </c>
      <c r="U172">
        <v>0</v>
      </c>
      <c r="V172">
        <v>0</v>
      </c>
      <c r="W172">
        <v>2</v>
      </c>
      <c r="X172">
        <v>0</v>
      </c>
      <c r="Y172">
        <v>0</v>
      </c>
      <c r="Z172">
        <v>0</v>
      </c>
      <c r="AA172" s="16" t="str">
        <f t="shared" si="11"/>
        <v>Number of changes breaking (Change Type of Parameter)</v>
      </c>
      <c r="AB172" s="16">
        <f t="shared" si="8"/>
        <v>0</v>
      </c>
      <c r="AC172" s="16" t="str">
        <f t="shared" si="9"/>
        <v>Number of changes non-breaking (Add Path)</v>
      </c>
      <c r="AD172" s="16">
        <f t="shared" si="10"/>
        <v>2</v>
      </c>
    </row>
    <row r="173" spans="1:30">
      <c r="A173" s="6" t="s">
        <v>328</v>
      </c>
      <c r="B173">
        <v>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2</v>
      </c>
      <c r="S173">
        <v>0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  <c r="Z173">
        <v>0</v>
      </c>
      <c r="AA173" s="16" t="str">
        <f t="shared" si="11"/>
        <v>Number of changes breaking (Change Type of Parameter)</v>
      </c>
      <c r="AB173" s="16">
        <f t="shared" si="8"/>
        <v>0</v>
      </c>
      <c r="AC173" s="16" t="str">
        <f t="shared" si="9"/>
        <v>Number of changes non-breaking (Add Path)</v>
      </c>
      <c r="AD173" s="16">
        <f t="shared" si="10"/>
        <v>1</v>
      </c>
    </row>
    <row r="174" spans="1:30">
      <c r="A174" s="6" t="s">
        <v>329</v>
      </c>
      <c r="B174">
        <v>4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4</v>
      </c>
      <c r="S174">
        <v>0</v>
      </c>
      <c r="T174">
        <v>0</v>
      </c>
      <c r="U174">
        <v>0</v>
      </c>
      <c r="V174">
        <v>4</v>
      </c>
      <c r="W174">
        <v>0</v>
      </c>
      <c r="X174">
        <v>0</v>
      </c>
      <c r="Y174">
        <v>0</v>
      </c>
      <c r="Z174">
        <v>0</v>
      </c>
      <c r="AA174" s="16" t="str">
        <f t="shared" si="11"/>
        <v>Number of changes breaking (Change Type of Parameter)</v>
      </c>
      <c r="AB174" s="16">
        <f t="shared" si="8"/>
        <v>0</v>
      </c>
      <c r="AC174" s="16" t="str">
        <f t="shared" si="9"/>
        <v>Number of changes non-breaking (Rename Parameter)</v>
      </c>
      <c r="AD174" s="16">
        <f t="shared" si="10"/>
        <v>4</v>
      </c>
    </row>
    <row r="175" spans="1:30">
      <c r="A175" s="6" t="s">
        <v>331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s="16" t="str">
        <f t="shared" si="11"/>
        <v>Number of changes breaking (Change Type of Parameter)</v>
      </c>
      <c r="AB175" s="16">
        <f t="shared" si="8"/>
        <v>0</v>
      </c>
      <c r="AC175" s="16" t="str">
        <f t="shared" si="9"/>
        <v>Number of changes non-breaking (Add Path)</v>
      </c>
      <c r="AD175" s="16">
        <f t="shared" si="10"/>
        <v>0</v>
      </c>
    </row>
    <row r="176" spans="1:30">
      <c r="A176" s="6" t="s">
        <v>334</v>
      </c>
      <c r="B176">
        <v>17</v>
      </c>
      <c r="C176">
        <v>15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15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2</v>
      </c>
      <c r="S176">
        <v>0</v>
      </c>
      <c r="T176">
        <v>0</v>
      </c>
      <c r="U176">
        <v>0</v>
      </c>
      <c r="V176">
        <v>2</v>
      </c>
      <c r="W176">
        <v>0</v>
      </c>
      <c r="X176">
        <v>0</v>
      </c>
      <c r="Y176">
        <v>0</v>
      </c>
      <c r="Z176">
        <v>0</v>
      </c>
      <c r="AA176" s="16" t="str">
        <f t="shared" si="11"/>
        <v>Number of changes breaking (Decrease Number of Parameters)</v>
      </c>
      <c r="AB176" s="16">
        <f t="shared" si="8"/>
        <v>15</v>
      </c>
      <c r="AC176" s="16" t="str">
        <f t="shared" si="9"/>
        <v>Number of changes non-breaking (Rename Parameter)</v>
      </c>
      <c r="AD176" s="16">
        <f t="shared" si="10"/>
        <v>2</v>
      </c>
    </row>
    <row r="177" spans="1:30">
      <c r="A177" s="6" t="s">
        <v>335</v>
      </c>
      <c r="B177">
        <v>6</v>
      </c>
      <c r="C177">
        <v>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s="16" t="str">
        <f t="shared" si="11"/>
        <v>Number of changes breaking (Decrease Number of Parameters)</v>
      </c>
      <c r="AB177" s="16">
        <f t="shared" si="8"/>
        <v>6</v>
      </c>
      <c r="AC177" s="16" t="str">
        <f t="shared" si="9"/>
        <v>Number of changes non-breaking (Add Path)</v>
      </c>
      <c r="AD177" s="16">
        <f t="shared" si="10"/>
        <v>0</v>
      </c>
    </row>
    <row r="178" spans="1:30">
      <c r="A178" s="6" t="s">
        <v>336</v>
      </c>
      <c r="B178">
        <v>4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4</v>
      </c>
      <c r="S178">
        <v>0</v>
      </c>
      <c r="T178">
        <v>0</v>
      </c>
      <c r="U178">
        <v>0</v>
      </c>
      <c r="V178">
        <v>4</v>
      </c>
      <c r="W178">
        <v>0</v>
      </c>
      <c r="X178">
        <v>0</v>
      </c>
      <c r="Y178">
        <v>0</v>
      </c>
      <c r="Z178">
        <v>0</v>
      </c>
      <c r="AA178" s="16" t="str">
        <f t="shared" si="11"/>
        <v>Number of changes breaking (Change Type of Parameter)</v>
      </c>
      <c r="AB178" s="16">
        <f t="shared" si="8"/>
        <v>0</v>
      </c>
      <c r="AC178" s="16" t="str">
        <f t="shared" si="9"/>
        <v>Number of changes non-breaking (Rename Parameter)</v>
      </c>
      <c r="AD178" s="16">
        <f t="shared" si="10"/>
        <v>4</v>
      </c>
    </row>
    <row r="179" spans="1:30">
      <c r="A179" s="6" t="s">
        <v>338</v>
      </c>
      <c r="B179">
        <v>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21</v>
      </c>
      <c r="S179">
        <v>0</v>
      </c>
      <c r="T179">
        <v>0</v>
      </c>
      <c r="U179">
        <v>0</v>
      </c>
      <c r="V179">
        <v>20</v>
      </c>
      <c r="W179">
        <v>0</v>
      </c>
      <c r="X179">
        <v>0</v>
      </c>
      <c r="Y179">
        <v>0</v>
      </c>
      <c r="Z179">
        <v>0</v>
      </c>
      <c r="AA179" s="16" t="str">
        <f t="shared" si="11"/>
        <v>Number of changes breaking (Change Type of Parameter)</v>
      </c>
      <c r="AB179" s="16">
        <f t="shared" si="8"/>
        <v>0</v>
      </c>
      <c r="AC179" s="16" t="str">
        <f t="shared" si="9"/>
        <v>Number of changes non-breaking (Rename Parameter)</v>
      </c>
      <c r="AD179" s="16">
        <f t="shared" si="10"/>
        <v>20</v>
      </c>
    </row>
    <row r="180" spans="1:30">
      <c r="A180" s="6" t="s">
        <v>341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s="16" t="str">
        <f t="shared" si="11"/>
        <v>Number of changes breaking (Change Type of Parameter)</v>
      </c>
      <c r="AB180" s="16">
        <f t="shared" si="8"/>
        <v>0</v>
      </c>
      <c r="AC180" s="16" t="str">
        <f t="shared" si="9"/>
        <v>Number of changes non-breaking (Add Path)</v>
      </c>
      <c r="AD180" s="16">
        <f t="shared" si="10"/>
        <v>0</v>
      </c>
    </row>
    <row r="181" spans="1:30">
      <c r="A181" s="6" t="s">
        <v>343</v>
      </c>
      <c r="B181">
        <v>74</v>
      </c>
      <c r="C181">
        <v>10</v>
      </c>
      <c r="D181">
        <v>0</v>
      </c>
      <c r="E181">
        <v>0</v>
      </c>
      <c r="F181">
        <v>0</v>
      </c>
      <c r="G181">
        <v>10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64</v>
      </c>
      <c r="S181">
        <v>0</v>
      </c>
      <c r="T181">
        <v>0</v>
      </c>
      <c r="U181">
        <v>0</v>
      </c>
      <c r="V181">
        <v>53</v>
      </c>
      <c r="W181">
        <v>11</v>
      </c>
      <c r="X181">
        <v>0</v>
      </c>
      <c r="Y181">
        <v>0</v>
      </c>
      <c r="Z181">
        <v>0</v>
      </c>
      <c r="AA181" s="16" t="str">
        <f t="shared" si="11"/>
        <v>Number of changes breaking (Increase Number of Parameters)</v>
      </c>
      <c r="AB181" s="16">
        <f t="shared" si="8"/>
        <v>10</v>
      </c>
      <c r="AC181" s="16" t="str">
        <f t="shared" si="9"/>
        <v>Number of changes non-breaking (Rename Parameter)</v>
      </c>
      <c r="AD181" s="16">
        <f t="shared" si="10"/>
        <v>53</v>
      </c>
    </row>
    <row r="182" spans="1:30">
      <c r="A182" s="6" t="s">
        <v>348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s="16" t="str">
        <f t="shared" si="11"/>
        <v>Number of changes breaking (Change Type of Parameter)</v>
      </c>
      <c r="AB182" s="16">
        <f t="shared" si="8"/>
        <v>0</v>
      </c>
      <c r="AC182" s="16" t="str">
        <f t="shared" si="9"/>
        <v>Number of changes non-breaking (Add Path)</v>
      </c>
      <c r="AD182" s="16">
        <f t="shared" si="10"/>
        <v>0</v>
      </c>
    </row>
    <row r="183" spans="1:30">
      <c r="A183" s="6" t="s">
        <v>350</v>
      </c>
      <c r="B183">
        <v>15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15</v>
      </c>
      <c r="S183">
        <v>0</v>
      </c>
      <c r="T183">
        <v>0</v>
      </c>
      <c r="U183">
        <v>0</v>
      </c>
      <c r="V183">
        <v>6</v>
      </c>
      <c r="W183">
        <v>9</v>
      </c>
      <c r="X183">
        <v>0</v>
      </c>
      <c r="Y183">
        <v>0</v>
      </c>
      <c r="Z183">
        <v>0</v>
      </c>
      <c r="AA183" s="16" t="str">
        <f t="shared" si="11"/>
        <v>Number of changes breaking (Change Type of Parameter)</v>
      </c>
      <c r="AB183" s="16">
        <f t="shared" si="8"/>
        <v>0</v>
      </c>
      <c r="AC183" s="16" t="str">
        <f t="shared" si="9"/>
        <v>Number of changes non-breaking (Add Path)</v>
      </c>
      <c r="AD183" s="16">
        <f t="shared" si="10"/>
        <v>9</v>
      </c>
    </row>
    <row r="184" spans="1:30">
      <c r="A184" s="6" t="s">
        <v>355</v>
      </c>
      <c r="B184">
        <v>15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15</v>
      </c>
      <c r="S184">
        <v>0</v>
      </c>
      <c r="T184">
        <v>0</v>
      </c>
      <c r="U184">
        <v>0</v>
      </c>
      <c r="V184">
        <v>5</v>
      </c>
      <c r="W184">
        <v>10</v>
      </c>
      <c r="X184">
        <v>0</v>
      </c>
      <c r="Y184">
        <v>0</v>
      </c>
      <c r="Z184">
        <v>0</v>
      </c>
      <c r="AA184" s="16" t="str">
        <f t="shared" si="11"/>
        <v>Number of changes breaking (Change Type of Parameter)</v>
      </c>
      <c r="AB184" s="16">
        <f t="shared" si="8"/>
        <v>0</v>
      </c>
      <c r="AC184" s="16" t="str">
        <f t="shared" si="9"/>
        <v>Number of changes non-breaking (Add Path)</v>
      </c>
      <c r="AD184" s="16">
        <f t="shared" si="10"/>
        <v>10</v>
      </c>
    </row>
    <row r="185" spans="1:30">
      <c r="A185" s="6" t="s">
        <v>358</v>
      </c>
      <c r="B185">
        <v>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2</v>
      </c>
      <c r="S185">
        <v>0</v>
      </c>
      <c r="T185">
        <v>0</v>
      </c>
      <c r="U185">
        <v>0</v>
      </c>
      <c r="V185">
        <v>2</v>
      </c>
      <c r="W185">
        <v>0</v>
      </c>
      <c r="X185">
        <v>0</v>
      </c>
      <c r="Y185">
        <v>0</v>
      </c>
      <c r="Z185">
        <v>0</v>
      </c>
      <c r="AA185" s="16" t="str">
        <f t="shared" si="11"/>
        <v>Number of changes breaking (Change Type of Parameter)</v>
      </c>
      <c r="AB185" s="16">
        <f t="shared" si="8"/>
        <v>0</v>
      </c>
      <c r="AC185" s="16" t="str">
        <f t="shared" si="9"/>
        <v>Number of changes non-breaking (Rename Parameter)</v>
      </c>
      <c r="AD185" s="16">
        <f t="shared" si="10"/>
        <v>2</v>
      </c>
    </row>
    <row r="186" spans="1:30">
      <c r="A186" s="6" t="s">
        <v>360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s="16" t="str">
        <f t="shared" si="11"/>
        <v>Number of changes breaking (Change Type of Parameter)</v>
      </c>
      <c r="AB186" s="16">
        <f t="shared" si="8"/>
        <v>0</v>
      </c>
      <c r="AC186" s="16" t="str">
        <f t="shared" si="9"/>
        <v>Number of changes non-breaking (Add Path)</v>
      </c>
      <c r="AD186" s="16">
        <f t="shared" si="10"/>
        <v>0</v>
      </c>
    </row>
    <row r="187" spans="1:30">
      <c r="A187" s="6" t="s">
        <v>364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s="16" t="str">
        <f t="shared" si="11"/>
        <v>Number of changes breaking (Change Type of Parameter)</v>
      </c>
      <c r="AB187" s="16">
        <f t="shared" si="8"/>
        <v>0</v>
      </c>
      <c r="AC187" s="16" t="str">
        <f t="shared" si="9"/>
        <v>Number of changes non-breaking (Add Path)</v>
      </c>
      <c r="AD187" s="16">
        <f t="shared" si="10"/>
        <v>0</v>
      </c>
    </row>
    <row r="188" spans="1:30">
      <c r="A188" s="6" t="s">
        <v>366</v>
      </c>
      <c r="B188">
        <v>3</v>
      </c>
      <c r="C188">
        <v>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2</v>
      </c>
      <c r="S188">
        <v>0</v>
      </c>
      <c r="T188">
        <v>0</v>
      </c>
      <c r="U188">
        <v>0</v>
      </c>
      <c r="V188">
        <v>2</v>
      </c>
      <c r="W188">
        <v>0</v>
      </c>
      <c r="X188">
        <v>0</v>
      </c>
      <c r="Y188">
        <v>0</v>
      </c>
      <c r="Z188">
        <v>0</v>
      </c>
      <c r="AA188" s="16" t="str">
        <f t="shared" si="11"/>
        <v>Number of changes breaking (Decrease Number of Parameters)</v>
      </c>
      <c r="AB188" s="16">
        <f t="shared" si="8"/>
        <v>1</v>
      </c>
      <c r="AC188" s="16" t="str">
        <f t="shared" si="9"/>
        <v>Number of changes non-breaking (Rename Parameter)</v>
      </c>
      <c r="AD188" s="16">
        <f t="shared" si="10"/>
        <v>2</v>
      </c>
    </row>
    <row r="189" spans="1:30">
      <c r="A189" s="6" t="s">
        <v>373</v>
      </c>
      <c r="B189">
        <v>10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10</v>
      </c>
      <c r="S189">
        <v>0</v>
      </c>
      <c r="T189">
        <v>0</v>
      </c>
      <c r="U189">
        <v>0</v>
      </c>
      <c r="V189">
        <v>10</v>
      </c>
      <c r="W189">
        <v>0</v>
      </c>
      <c r="X189">
        <v>0</v>
      </c>
      <c r="Y189">
        <v>0</v>
      </c>
      <c r="Z189">
        <v>0</v>
      </c>
      <c r="AA189" s="16" t="str">
        <f t="shared" si="11"/>
        <v>Number of changes breaking (Change Type of Parameter)</v>
      </c>
      <c r="AB189" s="16">
        <f t="shared" si="8"/>
        <v>0</v>
      </c>
      <c r="AC189" s="16" t="str">
        <f t="shared" si="9"/>
        <v>Number of changes non-breaking (Rename Parameter)</v>
      </c>
      <c r="AD189" s="16">
        <f t="shared" si="10"/>
        <v>10</v>
      </c>
    </row>
    <row r="190" spans="1:30">
      <c r="A190" s="6" t="s">
        <v>374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s="16" t="str">
        <f t="shared" si="11"/>
        <v>Number of changes breaking (Change Type of Parameter)</v>
      </c>
      <c r="AB190" s="16">
        <f t="shared" si="8"/>
        <v>0</v>
      </c>
      <c r="AC190" s="16" t="str">
        <f t="shared" si="9"/>
        <v>Number of changes non-breaking (Add Path)</v>
      </c>
      <c r="AD190" s="16">
        <f t="shared" si="10"/>
        <v>0</v>
      </c>
    </row>
    <row r="191" spans="1:30">
      <c r="A191" s="6" t="s">
        <v>376</v>
      </c>
      <c r="B191">
        <v>12</v>
      </c>
      <c r="C191">
        <v>12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12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s="16" t="str">
        <f t="shared" si="11"/>
        <v>Number of changes breaking (Decrease Number of Parameters)</v>
      </c>
      <c r="AB191" s="16">
        <f t="shared" si="8"/>
        <v>12</v>
      </c>
      <c r="AC191" s="16" t="str">
        <f t="shared" si="9"/>
        <v>Number of changes non-breaking (Add Path)</v>
      </c>
      <c r="AD191" s="16">
        <f t="shared" si="10"/>
        <v>0</v>
      </c>
    </row>
    <row r="192" spans="1:30">
      <c r="A192" s="6" t="s">
        <v>378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s="16" t="str">
        <f t="shared" si="11"/>
        <v>Number of changes breaking (Change Type of Parameter)</v>
      </c>
      <c r="AB192" s="16">
        <f t="shared" si="8"/>
        <v>0</v>
      </c>
      <c r="AC192" s="16" t="str">
        <f t="shared" si="9"/>
        <v>Number of changes non-breaking (Add Path)</v>
      </c>
      <c r="AD192" s="16">
        <f t="shared" si="10"/>
        <v>0</v>
      </c>
    </row>
    <row r="193" spans="1:30">
      <c r="A193" s="6" t="s">
        <v>380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s="16" t="str">
        <f t="shared" si="11"/>
        <v>Number of changes breaking (Change Type of Parameter)</v>
      </c>
      <c r="AB193" s="16">
        <f t="shared" si="8"/>
        <v>0</v>
      </c>
      <c r="AC193" s="16" t="str">
        <f t="shared" si="9"/>
        <v>Number of changes non-breaking (Add Path)</v>
      </c>
      <c r="AD193" s="16">
        <f t="shared" si="10"/>
        <v>0</v>
      </c>
    </row>
    <row r="194" spans="1:30">
      <c r="A194" s="6" t="s">
        <v>381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 s="16" t="str">
        <f t="shared" si="11"/>
        <v>Number of changes breaking (Change Type of Parameter)</v>
      </c>
      <c r="AB194" s="16">
        <f t="shared" si="8"/>
        <v>0</v>
      </c>
      <c r="AC194" s="16" t="str">
        <f t="shared" si="9"/>
        <v>Number of changes non-breaking (Add Path)</v>
      </c>
      <c r="AD194" s="16">
        <f t="shared" si="10"/>
        <v>0</v>
      </c>
    </row>
    <row r="195" spans="1:30">
      <c r="A195" s="6" t="s">
        <v>383</v>
      </c>
      <c r="B195">
        <v>2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2</v>
      </c>
      <c r="S195">
        <v>0</v>
      </c>
      <c r="T195">
        <v>0</v>
      </c>
      <c r="U195">
        <v>0</v>
      </c>
      <c r="V195">
        <v>2</v>
      </c>
      <c r="W195">
        <v>0</v>
      </c>
      <c r="X195">
        <v>0</v>
      </c>
      <c r="Y195">
        <v>0</v>
      </c>
      <c r="Z195">
        <v>0</v>
      </c>
      <c r="AA195" s="16" t="str">
        <f t="shared" si="11"/>
        <v>Number of changes breaking (Change Type of Parameter)</v>
      </c>
      <c r="AB195" s="16">
        <f t="shared" ref="AB195:AB226" si="12">MAX(D195:Q195)</f>
        <v>0</v>
      </c>
      <c r="AC195" s="16" t="str">
        <f t="shared" ref="AC195:AC226" si="13">INDEX($S$1:$Z$1,MATCH(AD195,S195:Z195))</f>
        <v>Number of changes non-breaking (Rename Parameter)</v>
      </c>
      <c r="AD195" s="16">
        <f t="shared" ref="AD195:AD226" si="14">MAX(S195:Z195)</f>
        <v>2</v>
      </c>
    </row>
    <row r="196" spans="1:30">
      <c r="A196" s="6" t="s">
        <v>384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s="16" t="str">
        <f t="shared" si="11"/>
        <v>Number of changes breaking (Change Type of Parameter)</v>
      </c>
      <c r="AB196" s="16">
        <f t="shared" si="12"/>
        <v>0</v>
      </c>
      <c r="AC196" s="16" t="str">
        <f t="shared" si="13"/>
        <v>Number of changes non-breaking (Add Path)</v>
      </c>
      <c r="AD196" s="16">
        <f t="shared" si="14"/>
        <v>0</v>
      </c>
    </row>
    <row r="197" spans="1:30">
      <c r="A197" s="6" t="s">
        <v>385</v>
      </c>
      <c r="B197">
        <v>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8</v>
      </c>
      <c r="S197">
        <v>0</v>
      </c>
      <c r="T197">
        <v>0</v>
      </c>
      <c r="U197">
        <v>0</v>
      </c>
      <c r="V197">
        <v>8</v>
      </c>
      <c r="W197">
        <v>0</v>
      </c>
      <c r="X197">
        <v>0</v>
      </c>
      <c r="Y197">
        <v>0</v>
      </c>
      <c r="Z197">
        <v>0</v>
      </c>
      <c r="AA197" s="16" t="str">
        <f t="shared" si="11"/>
        <v>Number of changes breaking (Change Type of Parameter)</v>
      </c>
      <c r="AB197" s="16">
        <f t="shared" si="12"/>
        <v>0</v>
      </c>
      <c r="AC197" s="16" t="str">
        <f t="shared" si="13"/>
        <v>Number of changes non-breaking (Rename Parameter)</v>
      </c>
      <c r="AD197" s="16">
        <f t="shared" si="14"/>
        <v>8</v>
      </c>
    </row>
    <row r="198" spans="1:30">
      <c r="A198" s="6" t="s">
        <v>387</v>
      </c>
      <c r="B198">
        <v>12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12</v>
      </c>
      <c r="S198">
        <v>0</v>
      </c>
      <c r="T198">
        <v>0</v>
      </c>
      <c r="U198">
        <v>0</v>
      </c>
      <c r="V198">
        <v>12</v>
      </c>
      <c r="W198">
        <v>0</v>
      </c>
      <c r="X198">
        <v>0</v>
      </c>
      <c r="Y198">
        <v>0</v>
      </c>
      <c r="Z198">
        <v>0</v>
      </c>
      <c r="AA198" s="16" t="str">
        <f t="shared" ref="AA198:AA226" si="15">INDEX(D$1:Q$1,MATCH(AB198,D198:Q198,0))</f>
        <v>Number of changes breaking (Change Type of Parameter)</v>
      </c>
      <c r="AB198" s="16">
        <f t="shared" si="12"/>
        <v>0</v>
      </c>
      <c r="AC198" s="16" t="str">
        <f t="shared" si="13"/>
        <v>Number of changes non-breaking (Rename Parameter)</v>
      </c>
      <c r="AD198" s="16">
        <f t="shared" si="14"/>
        <v>12</v>
      </c>
    </row>
    <row r="199" spans="1:30">
      <c r="A199" s="6" t="s">
        <v>389</v>
      </c>
      <c r="B199">
        <v>4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4</v>
      </c>
      <c r="S199">
        <v>0</v>
      </c>
      <c r="T199">
        <v>0</v>
      </c>
      <c r="U199">
        <v>0</v>
      </c>
      <c r="V199">
        <v>4</v>
      </c>
      <c r="W199">
        <v>0</v>
      </c>
      <c r="X199">
        <v>0</v>
      </c>
      <c r="Y199">
        <v>0</v>
      </c>
      <c r="Z199">
        <v>0</v>
      </c>
      <c r="AA199" s="16" t="str">
        <f t="shared" si="15"/>
        <v>Number of changes breaking (Change Type of Parameter)</v>
      </c>
      <c r="AB199" s="16">
        <f t="shared" si="12"/>
        <v>0</v>
      </c>
      <c r="AC199" s="16" t="str">
        <f t="shared" si="13"/>
        <v>Number of changes non-breaking (Rename Parameter)</v>
      </c>
      <c r="AD199" s="16">
        <f t="shared" si="14"/>
        <v>4</v>
      </c>
    </row>
    <row r="200" spans="1:30">
      <c r="A200" s="6" t="s">
        <v>391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s="16" t="str">
        <f t="shared" si="15"/>
        <v>Number of changes breaking (Change Type of Parameter)</v>
      </c>
      <c r="AB200" s="16">
        <f t="shared" si="12"/>
        <v>0</v>
      </c>
      <c r="AC200" s="16" t="str">
        <f t="shared" si="13"/>
        <v>Number of changes non-breaking (Add Path)</v>
      </c>
      <c r="AD200" s="16">
        <f t="shared" si="14"/>
        <v>0</v>
      </c>
    </row>
    <row r="201" spans="1:30">
      <c r="A201" s="6" t="s">
        <v>393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s="16" t="str">
        <f t="shared" si="15"/>
        <v>Number of changes breaking (Change Type of Parameter)</v>
      </c>
      <c r="AB201" s="16">
        <f t="shared" si="12"/>
        <v>0</v>
      </c>
      <c r="AC201" s="16" t="str">
        <f t="shared" si="13"/>
        <v>Number of changes non-breaking (Add Path)</v>
      </c>
      <c r="AD201" s="16">
        <f t="shared" si="14"/>
        <v>0</v>
      </c>
    </row>
    <row r="202" spans="1:30">
      <c r="A202" s="6" t="s">
        <v>395</v>
      </c>
      <c r="B202">
        <v>3</v>
      </c>
      <c r="C202">
        <v>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1</v>
      </c>
      <c r="X202">
        <v>0</v>
      </c>
      <c r="Y202">
        <v>0</v>
      </c>
      <c r="Z202">
        <v>0</v>
      </c>
      <c r="AA202" s="16" t="str">
        <f t="shared" si="15"/>
        <v>Number of changes breaking (Decrease Number of Parameters)</v>
      </c>
      <c r="AB202" s="16">
        <f t="shared" si="12"/>
        <v>2</v>
      </c>
      <c r="AC202" s="16" t="str">
        <f t="shared" si="13"/>
        <v>Number of changes non-breaking (Add Path)</v>
      </c>
      <c r="AD202" s="16">
        <f t="shared" si="14"/>
        <v>1</v>
      </c>
    </row>
    <row r="203" spans="1:30">
      <c r="A203" s="6" t="s">
        <v>398</v>
      </c>
      <c r="B203">
        <v>2</v>
      </c>
      <c r="C203">
        <v>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1</v>
      </c>
      <c r="X203">
        <v>0</v>
      </c>
      <c r="Y203">
        <v>0</v>
      </c>
      <c r="Z203">
        <v>0</v>
      </c>
      <c r="AA203" s="16" t="str">
        <f t="shared" si="15"/>
        <v>Number of changes breaking (Decrease Number of Parameters)</v>
      </c>
      <c r="AB203" s="16">
        <f t="shared" si="12"/>
        <v>1</v>
      </c>
      <c r="AC203" s="16" t="str">
        <f t="shared" si="13"/>
        <v>Number of changes non-breaking (Add Path)</v>
      </c>
      <c r="AD203" s="16">
        <f t="shared" si="14"/>
        <v>1</v>
      </c>
    </row>
    <row r="204" spans="1:30">
      <c r="A204" s="6" t="s">
        <v>400</v>
      </c>
      <c r="B204">
        <v>13</v>
      </c>
      <c r="C204">
        <v>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17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9</v>
      </c>
      <c r="S204">
        <v>0</v>
      </c>
      <c r="T204">
        <v>0</v>
      </c>
      <c r="U204">
        <v>0</v>
      </c>
      <c r="V204">
        <v>0</v>
      </c>
      <c r="W204">
        <v>9</v>
      </c>
      <c r="X204">
        <v>0</v>
      </c>
      <c r="Y204">
        <v>0</v>
      </c>
      <c r="Z204">
        <v>0</v>
      </c>
      <c r="AA204" s="16" t="str">
        <f t="shared" si="15"/>
        <v>Number of changes breaking (Decrease Number of Parameters)</v>
      </c>
      <c r="AB204" s="16">
        <f t="shared" si="12"/>
        <v>17</v>
      </c>
      <c r="AC204" s="16" t="str">
        <f t="shared" si="13"/>
        <v>Number of changes non-breaking (Add Path)</v>
      </c>
      <c r="AD204" s="16">
        <f t="shared" si="14"/>
        <v>9</v>
      </c>
    </row>
    <row r="205" spans="1:30">
      <c r="A205" s="6" t="s">
        <v>402</v>
      </c>
      <c r="B205">
        <v>28</v>
      </c>
      <c r="C205">
        <v>17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11</v>
      </c>
      <c r="S205">
        <v>0</v>
      </c>
      <c r="T205">
        <v>0</v>
      </c>
      <c r="U205">
        <v>0</v>
      </c>
      <c r="V205">
        <v>2</v>
      </c>
      <c r="W205">
        <v>9</v>
      </c>
      <c r="X205">
        <v>0</v>
      </c>
      <c r="Y205">
        <v>0</v>
      </c>
      <c r="Z205">
        <v>0</v>
      </c>
      <c r="AA205" s="16" t="str">
        <f t="shared" si="15"/>
        <v>Number of changes breaking (Change Type of Parameter)</v>
      </c>
      <c r="AB205" s="16">
        <f t="shared" si="12"/>
        <v>0</v>
      </c>
      <c r="AC205" s="16" t="str">
        <f t="shared" si="13"/>
        <v>Number of changes non-breaking (Add Path)</v>
      </c>
      <c r="AD205" s="16">
        <f t="shared" si="14"/>
        <v>9</v>
      </c>
    </row>
    <row r="206" spans="1:30">
      <c r="A206" s="6" t="s">
        <v>403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s="16" t="str">
        <f t="shared" si="15"/>
        <v>Number of changes breaking (Change Type of Parameter)</v>
      </c>
      <c r="AB206" s="16">
        <f t="shared" si="12"/>
        <v>0</v>
      </c>
      <c r="AC206" s="16" t="str">
        <f t="shared" si="13"/>
        <v>Number of changes non-breaking (Add Path)</v>
      </c>
      <c r="AD206" s="16">
        <f t="shared" si="14"/>
        <v>0</v>
      </c>
    </row>
    <row r="207" spans="1:30">
      <c r="A207" s="6" t="s">
        <v>405</v>
      </c>
      <c r="B207">
        <v>40</v>
      </c>
      <c r="C207">
        <v>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7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33</v>
      </c>
      <c r="S207">
        <v>0</v>
      </c>
      <c r="T207">
        <v>0</v>
      </c>
      <c r="U207">
        <v>0</v>
      </c>
      <c r="V207">
        <v>33</v>
      </c>
      <c r="W207">
        <v>0</v>
      </c>
      <c r="X207">
        <v>0</v>
      </c>
      <c r="Y207">
        <v>0</v>
      </c>
      <c r="Z207">
        <v>0</v>
      </c>
      <c r="AA207" s="16" t="str">
        <f t="shared" si="15"/>
        <v>Number of changes breaking (Decrease Number of Parameters)</v>
      </c>
      <c r="AB207" s="16">
        <f t="shared" si="12"/>
        <v>7</v>
      </c>
      <c r="AC207" s="16" t="str">
        <f t="shared" si="13"/>
        <v>Number of changes non-breaking (Rename Parameter)</v>
      </c>
      <c r="AD207" s="16">
        <f t="shared" si="14"/>
        <v>33</v>
      </c>
    </row>
    <row r="208" spans="1:30">
      <c r="A208" s="6" t="s">
        <v>409</v>
      </c>
      <c r="B208">
        <v>8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8</v>
      </c>
      <c r="S208">
        <v>0</v>
      </c>
      <c r="T208">
        <v>0</v>
      </c>
      <c r="U208">
        <v>0</v>
      </c>
      <c r="V208">
        <v>7</v>
      </c>
      <c r="W208">
        <v>1</v>
      </c>
      <c r="X208">
        <v>0</v>
      </c>
      <c r="Y208">
        <v>0</v>
      </c>
      <c r="Z208">
        <v>0</v>
      </c>
      <c r="AA208" s="16" t="str">
        <f t="shared" si="15"/>
        <v>Number of changes breaking (Change Type of Parameter)</v>
      </c>
      <c r="AB208" s="16">
        <f t="shared" si="12"/>
        <v>0</v>
      </c>
      <c r="AC208" s="16" t="str">
        <f t="shared" si="13"/>
        <v>Number of changes non-breaking (Rename Parameter)</v>
      </c>
      <c r="AD208" s="16">
        <f t="shared" si="14"/>
        <v>7</v>
      </c>
    </row>
    <row r="209" spans="1:30">
      <c r="A209" s="6" t="s">
        <v>411</v>
      </c>
      <c r="B209">
        <v>101</v>
      </c>
      <c r="C209">
        <v>29</v>
      </c>
      <c r="D209">
        <v>0</v>
      </c>
      <c r="E209">
        <v>0</v>
      </c>
      <c r="F209">
        <v>0</v>
      </c>
      <c r="G209">
        <v>23</v>
      </c>
      <c r="H209">
        <v>0</v>
      </c>
      <c r="I209">
        <v>6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72</v>
      </c>
      <c r="S209">
        <v>0</v>
      </c>
      <c r="T209">
        <v>0</v>
      </c>
      <c r="U209">
        <v>0</v>
      </c>
      <c r="V209">
        <v>62</v>
      </c>
      <c r="W209">
        <v>10</v>
      </c>
      <c r="X209">
        <v>0</v>
      </c>
      <c r="Y209">
        <v>0</v>
      </c>
      <c r="Z209">
        <v>0</v>
      </c>
      <c r="AA209" s="16" t="str">
        <f t="shared" si="15"/>
        <v>Number of changes breaking (Increase Number of Parameters)</v>
      </c>
      <c r="AB209" s="16">
        <f t="shared" si="12"/>
        <v>23</v>
      </c>
      <c r="AC209" s="16" t="str">
        <f t="shared" si="13"/>
        <v>Number of changes non-breaking (Rename Parameter)</v>
      </c>
      <c r="AD209" s="16">
        <f t="shared" si="14"/>
        <v>62</v>
      </c>
    </row>
    <row r="210" spans="1:30">
      <c r="A210" s="6" t="s">
        <v>415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 s="16" t="str">
        <f t="shared" si="15"/>
        <v>Number of changes breaking (Change Type of Parameter)</v>
      </c>
      <c r="AB210" s="16">
        <f t="shared" si="12"/>
        <v>0</v>
      </c>
      <c r="AC210" s="16" t="str">
        <f t="shared" si="13"/>
        <v>Number of changes non-breaking (Add Path)</v>
      </c>
      <c r="AD210" s="16">
        <f t="shared" si="14"/>
        <v>0</v>
      </c>
    </row>
    <row r="211" spans="1:30">
      <c r="A211" s="6" t="s">
        <v>417</v>
      </c>
      <c r="B211">
        <v>11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11</v>
      </c>
      <c r="S211">
        <v>0</v>
      </c>
      <c r="T211">
        <v>0</v>
      </c>
      <c r="U211">
        <v>0</v>
      </c>
      <c r="V211">
        <v>11</v>
      </c>
      <c r="W211">
        <v>0</v>
      </c>
      <c r="X211">
        <v>0</v>
      </c>
      <c r="Y211">
        <v>0</v>
      </c>
      <c r="Z211">
        <v>0</v>
      </c>
      <c r="AA211" s="16" t="str">
        <f t="shared" si="15"/>
        <v>Number of changes breaking (Change Type of Parameter)</v>
      </c>
      <c r="AB211" s="16">
        <f t="shared" si="12"/>
        <v>0</v>
      </c>
      <c r="AC211" s="16" t="str">
        <f t="shared" si="13"/>
        <v>Number of changes non-breaking (Rename Parameter)</v>
      </c>
      <c r="AD211" s="16">
        <f t="shared" si="14"/>
        <v>11</v>
      </c>
    </row>
    <row r="212" spans="1:30">
      <c r="A212" s="6" t="s">
        <v>419</v>
      </c>
      <c r="B212">
        <v>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8</v>
      </c>
      <c r="S212">
        <v>0</v>
      </c>
      <c r="T212">
        <v>0</v>
      </c>
      <c r="U212">
        <v>0</v>
      </c>
      <c r="V212">
        <v>8</v>
      </c>
      <c r="W212">
        <v>0</v>
      </c>
      <c r="X212">
        <v>0</v>
      </c>
      <c r="Y212">
        <v>0</v>
      </c>
      <c r="Z212">
        <v>0</v>
      </c>
      <c r="AA212" s="16" t="str">
        <f t="shared" si="15"/>
        <v>Number of changes breaking (Change Type of Parameter)</v>
      </c>
      <c r="AB212" s="16">
        <f t="shared" si="12"/>
        <v>0</v>
      </c>
      <c r="AC212" s="16" t="str">
        <f t="shared" si="13"/>
        <v>Number of changes non-breaking (Rename Parameter)</v>
      </c>
      <c r="AD212" s="16">
        <f t="shared" si="14"/>
        <v>8</v>
      </c>
    </row>
    <row r="213" spans="1:30">
      <c r="A213" s="6" t="s">
        <v>422</v>
      </c>
      <c r="B213">
        <v>33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33</v>
      </c>
      <c r="S213">
        <v>0</v>
      </c>
      <c r="T213">
        <v>0</v>
      </c>
      <c r="U213">
        <v>0</v>
      </c>
      <c r="V213">
        <v>15</v>
      </c>
      <c r="W213">
        <v>18</v>
      </c>
      <c r="X213">
        <v>0</v>
      </c>
      <c r="Y213">
        <v>0</v>
      </c>
      <c r="Z213">
        <v>0</v>
      </c>
      <c r="AA213" s="16" t="str">
        <f t="shared" si="15"/>
        <v>Number of changes breaking (Change Type of Parameter)</v>
      </c>
      <c r="AB213" s="16">
        <f t="shared" si="12"/>
        <v>0</v>
      </c>
      <c r="AC213" s="16" t="str">
        <f t="shared" si="13"/>
        <v>Number of changes non-breaking (Add Path)</v>
      </c>
      <c r="AD213" s="16">
        <f t="shared" si="14"/>
        <v>18</v>
      </c>
    </row>
    <row r="214" spans="1:30">
      <c r="A214" s="6" t="s">
        <v>425</v>
      </c>
      <c r="B214">
        <v>28</v>
      </c>
      <c r="C214">
        <v>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4</v>
      </c>
      <c r="Q214">
        <v>0</v>
      </c>
      <c r="R214">
        <v>24</v>
      </c>
      <c r="S214">
        <v>0</v>
      </c>
      <c r="T214">
        <v>0</v>
      </c>
      <c r="U214">
        <v>0</v>
      </c>
      <c r="V214">
        <v>5</v>
      </c>
      <c r="W214">
        <v>19</v>
      </c>
      <c r="X214">
        <v>0</v>
      </c>
      <c r="Y214">
        <v>0</v>
      </c>
      <c r="Z214">
        <v>0</v>
      </c>
      <c r="AA214" s="16" t="str">
        <f t="shared" si="15"/>
        <v>Number of changes breaking (Change Type of Return Value)</v>
      </c>
      <c r="AB214" s="16">
        <f t="shared" si="12"/>
        <v>4</v>
      </c>
      <c r="AC214" s="16" t="str">
        <f t="shared" si="13"/>
        <v>Number of changes non-breaking (Add Path)</v>
      </c>
      <c r="AD214" s="16">
        <f t="shared" si="14"/>
        <v>19</v>
      </c>
    </row>
    <row r="215" spans="1:30">
      <c r="A215" s="6" t="s">
        <v>427</v>
      </c>
      <c r="B215">
        <v>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>
        <v>1</v>
      </c>
      <c r="X215">
        <v>0</v>
      </c>
      <c r="Y215">
        <v>0</v>
      </c>
      <c r="Z215">
        <v>0</v>
      </c>
      <c r="AA215" s="16" t="str">
        <f t="shared" si="15"/>
        <v>Number of changes breaking (Change Type of Parameter)</v>
      </c>
      <c r="AB215" s="16">
        <f t="shared" si="12"/>
        <v>0</v>
      </c>
      <c r="AC215" s="16" t="str">
        <f t="shared" si="13"/>
        <v>Number of changes non-breaking (Add Path)</v>
      </c>
      <c r="AD215" s="16">
        <f t="shared" si="14"/>
        <v>1</v>
      </c>
    </row>
    <row r="216" spans="1:30">
      <c r="A216" s="6" t="s">
        <v>428</v>
      </c>
      <c r="B216">
        <v>10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10</v>
      </c>
      <c r="S216">
        <v>0</v>
      </c>
      <c r="T216">
        <v>0</v>
      </c>
      <c r="U216">
        <v>0</v>
      </c>
      <c r="V216">
        <v>4</v>
      </c>
      <c r="W216">
        <v>6</v>
      </c>
      <c r="X216">
        <v>0</v>
      </c>
      <c r="Y216">
        <v>0</v>
      </c>
      <c r="Z216">
        <v>0</v>
      </c>
      <c r="AA216" s="16" t="str">
        <f t="shared" si="15"/>
        <v>Number of changes breaking (Change Type of Parameter)</v>
      </c>
      <c r="AB216" s="16">
        <f t="shared" si="12"/>
        <v>0</v>
      </c>
      <c r="AC216" s="16" t="str">
        <f t="shared" si="13"/>
        <v>Number of changes non-breaking (Add Path)</v>
      </c>
      <c r="AD216" s="16">
        <f t="shared" si="14"/>
        <v>6</v>
      </c>
    </row>
    <row r="217" spans="1:30">
      <c r="A217" s="6" t="s">
        <v>432</v>
      </c>
      <c r="B217">
        <v>6</v>
      </c>
      <c r="C217">
        <v>1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5</v>
      </c>
      <c r="S217">
        <v>0</v>
      </c>
      <c r="T217">
        <v>0</v>
      </c>
      <c r="U217">
        <v>0</v>
      </c>
      <c r="V217">
        <v>0</v>
      </c>
      <c r="W217">
        <v>5</v>
      </c>
      <c r="X217">
        <v>0</v>
      </c>
      <c r="Y217">
        <v>0</v>
      </c>
      <c r="Z217">
        <v>0</v>
      </c>
      <c r="AA217" s="16" t="str">
        <f t="shared" si="15"/>
        <v>Number of changes breaking (Increase Number of Parameters)</v>
      </c>
      <c r="AB217" s="16">
        <f t="shared" si="12"/>
        <v>1</v>
      </c>
      <c r="AC217" s="16" t="str">
        <f t="shared" si="13"/>
        <v>Number of changes non-breaking (Add Path)</v>
      </c>
      <c r="AD217" s="16">
        <f t="shared" si="14"/>
        <v>5</v>
      </c>
    </row>
    <row r="218" spans="1:30">
      <c r="A218" s="6" t="s">
        <v>433</v>
      </c>
      <c r="B218">
        <v>22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22</v>
      </c>
      <c r="S218">
        <v>0</v>
      </c>
      <c r="T218">
        <v>0</v>
      </c>
      <c r="U218">
        <v>0</v>
      </c>
      <c r="V218">
        <v>0</v>
      </c>
      <c r="W218">
        <v>22</v>
      </c>
      <c r="X218">
        <v>0</v>
      </c>
      <c r="Y218">
        <v>0</v>
      </c>
      <c r="Z218">
        <v>0</v>
      </c>
      <c r="AA218" s="16" t="str">
        <f t="shared" si="15"/>
        <v>Number of changes breaking (Change Type of Parameter)</v>
      </c>
      <c r="AB218" s="16">
        <f t="shared" si="12"/>
        <v>0</v>
      </c>
      <c r="AC218" s="16" t="str">
        <f t="shared" si="13"/>
        <v>Number of changes non-breaking (Add Path)</v>
      </c>
      <c r="AD218" s="16">
        <f t="shared" si="14"/>
        <v>22</v>
      </c>
    </row>
    <row r="219" spans="1:30">
      <c r="A219" s="6" t="s">
        <v>434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0</v>
      </c>
      <c r="Y219">
        <v>0</v>
      </c>
      <c r="Z219">
        <v>0</v>
      </c>
      <c r="AA219" s="16" t="str">
        <f t="shared" si="15"/>
        <v>Number of changes breaking (Change Type of Parameter)</v>
      </c>
      <c r="AB219" s="16">
        <f t="shared" si="12"/>
        <v>0</v>
      </c>
      <c r="AC219" s="16" t="str">
        <f t="shared" si="13"/>
        <v>Number of changes non-breaking (Add Path)</v>
      </c>
      <c r="AD219" s="16">
        <f t="shared" si="14"/>
        <v>1</v>
      </c>
    </row>
    <row r="220" spans="1:30">
      <c r="A220" s="6" t="s">
        <v>436</v>
      </c>
      <c r="B220">
        <v>27</v>
      </c>
      <c r="C220">
        <v>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3</v>
      </c>
      <c r="O220">
        <v>0</v>
      </c>
      <c r="P220">
        <v>0</v>
      </c>
      <c r="Q220">
        <v>0</v>
      </c>
      <c r="R220">
        <v>24</v>
      </c>
      <c r="S220">
        <v>0</v>
      </c>
      <c r="T220">
        <v>0</v>
      </c>
      <c r="U220">
        <v>0</v>
      </c>
      <c r="V220">
        <v>6</v>
      </c>
      <c r="W220">
        <v>15</v>
      </c>
      <c r="X220">
        <v>0</v>
      </c>
      <c r="Y220">
        <v>0</v>
      </c>
      <c r="Z220">
        <v>0</v>
      </c>
      <c r="AA220" s="16" t="str">
        <f t="shared" si="15"/>
        <v>Number of changes breaking (Remove Status Code)</v>
      </c>
      <c r="AB220" s="16">
        <f t="shared" si="12"/>
        <v>3</v>
      </c>
      <c r="AC220" s="16" t="str">
        <f t="shared" si="13"/>
        <v>Number of changes non-breaking (Add Path)</v>
      </c>
      <c r="AD220" s="16">
        <f t="shared" si="14"/>
        <v>15</v>
      </c>
    </row>
    <row r="221" spans="1:30">
      <c r="A221" s="6" t="s">
        <v>437</v>
      </c>
      <c r="B221">
        <v>3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3</v>
      </c>
      <c r="S221">
        <v>0</v>
      </c>
      <c r="T221">
        <v>0</v>
      </c>
      <c r="U221">
        <v>0</v>
      </c>
      <c r="V221">
        <v>0</v>
      </c>
      <c r="W221">
        <v>3</v>
      </c>
      <c r="X221">
        <v>0</v>
      </c>
      <c r="Y221">
        <v>0</v>
      </c>
      <c r="Z221">
        <v>0</v>
      </c>
      <c r="AA221" s="16" t="str">
        <f t="shared" si="15"/>
        <v>Number of changes breaking (Change Type of Parameter)</v>
      </c>
      <c r="AB221" s="16">
        <f t="shared" si="12"/>
        <v>0</v>
      </c>
      <c r="AC221" s="16" t="str">
        <f t="shared" si="13"/>
        <v>Number of changes non-breaking (Add Path)</v>
      </c>
      <c r="AD221" s="16">
        <f t="shared" si="14"/>
        <v>3</v>
      </c>
    </row>
    <row r="222" spans="1:30">
      <c r="A222" s="6" t="s">
        <v>438</v>
      </c>
      <c r="B222">
        <v>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8</v>
      </c>
      <c r="S222">
        <v>0</v>
      </c>
      <c r="T222">
        <v>0</v>
      </c>
      <c r="U222">
        <v>0</v>
      </c>
      <c r="V222">
        <v>0</v>
      </c>
      <c r="W222">
        <v>8</v>
      </c>
      <c r="X222">
        <v>0</v>
      </c>
      <c r="Y222">
        <v>0</v>
      </c>
      <c r="Z222">
        <v>0</v>
      </c>
      <c r="AA222" s="16" t="str">
        <f t="shared" si="15"/>
        <v>Number of changes breaking (Change Type of Parameter)</v>
      </c>
      <c r="AB222" s="16">
        <f t="shared" si="12"/>
        <v>0</v>
      </c>
      <c r="AC222" s="16" t="str">
        <f t="shared" si="13"/>
        <v>Number of changes non-breaking (Add Path)</v>
      </c>
      <c r="AD222" s="16">
        <f t="shared" si="14"/>
        <v>8</v>
      </c>
    </row>
    <row r="223" spans="1:30">
      <c r="A223" s="6" t="s">
        <v>439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s="16" t="str">
        <f t="shared" si="15"/>
        <v>Number of changes breaking (Change Type of Parameter)</v>
      </c>
      <c r="AB223" s="16">
        <f t="shared" si="12"/>
        <v>0</v>
      </c>
      <c r="AC223" s="16" t="str">
        <f t="shared" si="13"/>
        <v>Number of changes non-breaking (Add Path)</v>
      </c>
      <c r="AD223" s="16">
        <f t="shared" si="14"/>
        <v>0</v>
      </c>
    </row>
    <row r="224" spans="1:30">
      <c r="A224" s="6" t="s">
        <v>440</v>
      </c>
      <c r="B224">
        <v>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4</v>
      </c>
      <c r="S224">
        <v>0</v>
      </c>
      <c r="T224">
        <v>0</v>
      </c>
      <c r="U224">
        <v>0</v>
      </c>
      <c r="V224">
        <v>0</v>
      </c>
      <c r="W224">
        <v>3</v>
      </c>
      <c r="X224">
        <v>0</v>
      </c>
      <c r="Y224">
        <v>0</v>
      </c>
      <c r="Z224">
        <v>0</v>
      </c>
      <c r="AA224" s="16" t="str">
        <f t="shared" si="15"/>
        <v>Number of changes breaking (Change Type of Parameter)</v>
      </c>
      <c r="AB224" s="16">
        <f t="shared" si="12"/>
        <v>0</v>
      </c>
      <c r="AC224" s="16" t="str">
        <f t="shared" si="13"/>
        <v>Number of changes non-breaking (Add Path)</v>
      </c>
      <c r="AD224" s="16">
        <f t="shared" si="14"/>
        <v>3</v>
      </c>
    </row>
    <row r="225" spans="1:30">
      <c r="A225" s="6" t="s">
        <v>441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s="16" t="str">
        <f t="shared" si="15"/>
        <v>Number of changes breaking (Change Type of Parameter)</v>
      </c>
      <c r="AB225" s="16">
        <f t="shared" si="12"/>
        <v>0</v>
      </c>
      <c r="AC225" s="16" t="str">
        <f t="shared" si="13"/>
        <v>Number of changes non-breaking (Add Path)</v>
      </c>
      <c r="AD225" s="16">
        <f t="shared" si="14"/>
        <v>0</v>
      </c>
    </row>
    <row r="226" spans="1:30">
      <c r="A226" s="6" t="s">
        <v>443</v>
      </c>
      <c r="B226">
        <v>370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370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 s="16" t="str">
        <f t="shared" si="15"/>
        <v>Number of changes breaking (Change Type of Parameter)</v>
      </c>
      <c r="AB226" s="16">
        <f t="shared" si="12"/>
        <v>0</v>
      </c>
      <c r="AC226" s="16" t="str">
        <f t="shared" si="13"/>
        <v>Number of changes non-breaking (Add Path)</v>
      </c>
      <c r="AD226" s="16">
        <f t="shared" si="14"/>
        <v>0</v>
      </c>
    </row>
    <row r="227" spans="1:30">
      <c r="D227" s="39">
        <f>SUM(D2:D226)</f>
        <v>1</v>
      </c>
      <c r="E227" s="39">
        <f t="shared" ref="E227:I227" si="16">SUM(E2:E226)</f>
        <v>0</v>
      </c>
      <c r="F227" s="39">
        <f t="shared" si="16"/>
        <v>0</v>
      </c>
      <c r="G227" s="39">
        <f t="shared" si="16"/>
        <v>658</v>
      </c>
      <c r="H227" s="39">
        <f t="shared" si="16"/>
        <v>0</v>
      </c>
      <c r="I227" s="39">
        <f t="shared" si="16"/>
        <v>51</v>
      </c>
      <c r="J227" s="39">
        <f t="shared" ref="J227" si="17">SUM(J2:J226)</f>
        <v>494</v>
      </c>
      <c r="K227" s="39">
        <f t="shared" ref="K227" si="18">SUM(K2:K226)</f>
        <v>0</v>
      </c>
      <c r="L227" s="39">
        <f t="shared" ref="L227" si="19">SUM(L2:L226)</f>
        <v>17</v>
      </c>
      <c r="M227" s="39">
        <f t="shared" ref="M227:N227" si="20">SUM(M2:M226)</f>
        <v>0</v>
      </c>
      <c r="N227" s="39">
        <f t="shared" si="20"/>
        <v>121</v>
      </c>
      <c r="O227" s="39">
        <f t="shared" ref="O227" si="21">SUM(O2:O226)</f>
        <v>0</v>
      </c>
      <c r="P227" s="39">
        <f t="shared" ref="P227" si="22">SUM(P2:P226)</f>
        <v>4</v>
      </c>
      <c r="Q227" s="39">
        <f t="shared" ref="Q227" si="23">SUM(Q2:Q226)</f>
        <v>0</v>
      </c>
      <c r="R227" s="16"/>
      <c r="S227" s="39">
        <f t="shared" ref="S227" si="24">SUM(S2:S226)</f>
        <v>0</v>
      </c>
      <c r="T227" s="39">
        <f t="shared" ref="T227" si="25">SUM(T2:T226)</f>
        <v>0</v>
      </c>
      <c r="U227" s="39">
        <f t="shared" ref="U227" si="26">SUM(U2:U226)</f>
        <v>6</v>
      </c>
      <c r="V227" s="39">
        <f t="shared" ref="V227" si="27">SUM(V2:V226)</f>
        <v>1473</v>
      </c>
      <c r="W227" s="39">
        <f t="shared" ref="W227" si="28">SUM(W2:W226)</f>
        <v>495</v>
      </c>
      <c r="X227" s="39">
        <f t="shared" ref="X227" si="29">SUM(X2:X226)</f>
        <v>2</v>
      </c>
      <c r="Y227" s="39">
        <f t="shared" ref="Y227" si="30">SUM(Y2:Y226)</f>
        <v>0</v>
      </c>
      <c r="Z227" s="39">
        <f t="shared" ref="Z227" si="31">SUM(Z2:Z226)</f>
        <v>0</v>
      </c>
    </row>
  </sheetData>
  <autoFilter ref="A1:AD227" xr:uid="{835EC2D3-8C38-4CF7-B3FC-22F706C2B8E4}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4910-4913-4B11-AA48-7E8ACDDE2AB3}">
  <sheetPr codeName="Sheet13"/>
  <dimension ref="A1:S785"/>
  <sheetViews>
    <sheetView zoomScale="66" zoomScaleNormal="90" workbookViewId="0">
      <selection activeCell="I13" sqref="I13"/>
    </sheetView>
  </sheetViews>
  <sheetFormatPr defaultRowHeight="12.3"/>
  <cols>
    <col min="1" max="1" width="56.27734375" bestFit="1" customWidth="1"/>
    <col min="2" max="2" width="38.5546875" bestFit="1" customWidth="1"/>
    <col min="3" max="3" width="23.83203125" bestFit="1" customWidth="1"/>
    <col min="4" max="4" width="12" bestFit="1" customWidth="1"/>
    <col min="6" max="6" width="54.44140625" bestFit="1" customWidth="1"/>
    <col min="7" max="7" width="23.5546875" bestFit="1" customWidth="1"/>
    <col min="8" max="8" width="34.5546875" bestFit="1" customWidth="1"/>
    <col min="10" max="10" width="38.5546875" style="17" bestFit="1" customWidth="1"/>
    <col min="11" max="11" width="27.27734375" style="17" bestFit="1" customWidth="1"/>
    <col min="12" max="12" width="27.71875" bestFit="1" customWidth="1"/>
    <col min="13" max="14" width="52.71875" bestFit="1" customWidth="1"/>
    <col min="15" max="15" width="12.83203125" bestFit="1" customWidth="1"/>
    <col min="22" max="22" width="16.71875" bestFit="1" customWidth="1"/>
    <col min="23" max="23" width="18.1640625" bestFit="1" customWidth="1"/>
  </cols>
  <sheetData>
    <row r="1" spans="1:19" ht="13.8">
      <c r="A1" s="50" t="s">
        <v>0</v>
      </c>
      <c r="B1" s="50" t="s">
        <v>497</v>
      </c>
      <c r="C1" s="50" t="s">
        <v>490</v>
      </c>
      <c r="D1" s="50" t="s">
        <v>496</v>
      </c>
      <c r="E1">
        <f>SUBTOTAL(3,A2:A785)</f>
        <v>784</v>
      </c>
      <c r="F1" s="50" t="s">
        <v>0</v>
      </c>
      <c r="G1" s="50" t="s">
        <v>581</v>
      </c>
      <c r="H1" s="50" t="s">
        <v>490</v>
      </c>
      <c r="J1" s="52" t="s">
        <v>495</v>
      </c>
      <c r="K1" s="52" t="s">
        <v>475</v>
      </c>
      <c r="M1" s="52" t="s">
        <v>495</v>
      </c>
      <c r="N1" s="52" t="s">
        <v>518</v>
      </c>
      <c r="P1" s="51"/>
      <c r="Q1" s="51"/>
      <c r="R1" s="51"/>
      <c r="S1" s="51"/>
    </row>
    <row r="2" spans="1:19" ht="14.1">
      <c r="A2" s="31" t="s">
        <v>1</v>
      </c>
      <c r="B2" s="31" t="s">
        <v>2</v>
      </c>
      <c r="C2" s="8">
        <v>0</v>
      </c>
      <c r="D2">
        <v>1</v>
      </c>
      <c r="F2" t="s">
        <v>1</v>
      </c>
      <c r="G2">
        <v>1</v>
      </c>
      <c r="H2" s="17">
        <v>0</v>
      </c>
      <c r="J2" s="53">
        <v>1</v>
      </c>
      <c r="K2" s="53">
        <v>690</v>
      </c>
      <c r="M2" s="53">
        <v>1</v>
      </c>
      <c r="N2" s="53">
        <v>225</v>
      </c>
      <c r="Q2" s="51"/>
      <c r="R2" s="51"/>
      <c r="S2" s="51"/>
    </row>
    <row r="3" spans="1:19" ht="14.1">
      <c r="A3" s="31" t="s">
        <v>3</v>
      </c>
      <c r="B3" s="31" t="s">
        <v>4</v>
      </c>
      <c r="C3" s="8">
        <v>0</v>
      </c>
      <c r="D3">
        <v>1</v>
      </c>
      <c r="F3" t="s">
        <v>3</v>
      </c>
      <c r="G3">
        <v>1</v>
      </c>
      <c r="H3" s="17">
        <v>0</v>
      </c>
      <c r="J3" s="53">
        <v>2</v>
      </c>
      <c r="K3" s="53">
        <v>182</v>
      </c>
      <c r="M3" s="53">
        <v>2</v>
      </c>
      <c r="N3" s="53">
        <v>133</v>
      </c>
      <c r="P3" s="51"/>
      <c r="Q3" s="51"/>
      <c r="R3" s="51"/>
      <c r="S3" s="51"/>
    </row>
    <row r="4" spans="1:19" ht="14.1">
      <c r="A4" s="31" t="s">
        <v>5</v>
      </c>
      <c r="B4" s="6" t="s">
        <v>6</v>
      </c>
      <c r="C4" s="8">
        <v>0</v>
      </c>
      <c r="D4">
        <v>1</v>
      </c>
      <c r="F4" t="s">
        <v>5</v>
      </c>
      <c r="G4">
        <v>1</v>
      </c>
      <c r="H4" s="17">
        <v>0</v>
      </c>
      <c r="J4" s="53">
        <v>3</v>
      </c>
      <c r="K4" s="53">
        <v>143</v>
      </c>
      <c r="M4" s="53">
        <v>3</v>
      </c>
      <c r="N4" s="53">
        <v>79</v>
      </c>
      <c r="P4" s="51"/>
      <c r="Q4" s="51"/>
      <c r="R4" s="51"/>
      <c r="S4" s="51"/>
    </row>
    <row r="5" spans="1:19" ht="14.1">
      <c r="A5" s="31" t="s">
        <v>7</v>
      </c>
      <c r="B5" s="31" t="s">
        <v>8</v>
      </c>
      <c r="C5" s="8">
        <v>11</v>
      </c>
      <c r="D5">
        <v>1</v>
      </c>
      <c r="F5" t="s">
        <v>7</v>
      </c>
      <c r="G5">
        <v>2</v>
      </c>
      <c r="H5" s="17">
        <v>15</v>
      </c>
      <c r="J5" s="53">
        <v>4</v>
      </c>
      <c r="K5" s="53">
        <v>41</v>
      </c>
      <c r="M5" s="53">
        <v>4</v>
      </c>
      <c r="N5" s="53">
        <v>51</v>
      </c>
      <c r="P5" s="51"/>
      <c r="Q5" s="51"/>
      <c r="R5" s="51"/>
      <c r="S5" s="51"/>
    </row>
    <row r="6" spans="1:19" ht="14.1">
      <c r="A6" s="31" t="s">
        <v>7</v>
      </c>
      <c r="B6" s="31" t="s">
        <v>9</v>
      </c>
      <c r="C6" s="8">
        <v>4</v>
      </c>
      <c r="D6">
        <v>2</v>
      </c>
      <c r="F6" t="s">
        <v>10</v>
      </c>
      <c r="G6">
        <v>2</v>
      </c>
      <c r="H6" s="17">
        <v>0</v>
      </c>
      <c r="J6" s="53">
        <v>5</v>
      </c>
      <c r="K6" s="53">
        <v>33</v>
      </c>
      <c r="M6" s="53">
        <v>5</v>
      </c>
      <c r="N6" s="53">
        <v>41</v>
      </c>
      <c r="P6" s="51"/>
      <c r="Q6" s="51"/>
      <c r="R6" s="51"/>
      <c r="S6" s="51"/>
    </row>
    <row r="7" spans="1:19" ht="14.1">
      <c r="A7" s="31" t="s">
        <v>10</v>
      </c>
      <c r="B7" s="6" t="s">
        <v>8</v>
      </c>
      <c r="C7" s="8">
        <v>0</v>
      </c>
      <c r="D7">
        <v>1</v>
      </c>
      <c r="F7" t="s">
        <v>11</v>
      </c>
      <c r="G7">
        <v>2</v>
      </c>
      <c r="H7" s="17">
        <v>0</v>
      </c>
      <c r="J7" s="53">
        <v>6</v>
      </c>
      <c r="K7" s="53">
        <v>13</v>
      </c>
      <c r="M7" s="53">
        <v>6</v>
      </c>
      <c r="N7" s="53">
        <v>31</v>
      </c>
      <c r="P7" s="51"/>
      <c r="Q7" s="51"/>
      <c r="R7" s="51"/>
      <c r="S7" s="51"/>
    </row>
    <row r="8" spans="1:19" ht="14.1">
      <c r="A8" s="31" t="s">
        <v>10</v>
      </c>
      <c r="B8" s="6" t="s">
        <v>9</v>
      </c>
      <c r="C8" s="8">
        <v>0</v>
      </c>
      <c r="D8">
        <v>2</v>
      </c>
      <c r="F8" t="s">
        <v>12</v>
      </c>
      <c r="G8">
        <v>2</v>
      </c>
      <c r="H8" s="17">
        <v>5</v>
      </c>
      <c r="J8" s="53">
        <v>7</v>
      </c>
      <c r="K8" s="53">
        <v>7</v>
      </c>
      <c r="M8" s="53">
        <v>7</v>
      </c>
      <c r="N8" s="53">
        <v>28</v>
      </c>
      <c r="P8" s="51"/>
      <c r="Q8" s="51"/>
      <c r="R8" s="51"/>
      <c r="S8" s="51"/>
    </row>
    <row r="9" spans="1:19" ht="14.1">
      <c r="A9" s="31" t="s">
        <v>11</v>
      </c>
      <c r="B9" s="6" t="s">
        <v>8</v>
      </c>
      <c r="C9" s="8">
        <v>0</v>
      </c>
      <c r="D9">
        <v>1</v>
      </c>
      <c r="F9" t="s">
        <v>13</v>
      </c>
      <c r="G9">
        <v>2</v>
      </c>
      <c r="H9" s="17">
        <v>0</v>
      </c>
      <c r="J9" s="53">
        <v>8</v>
      </c>
      <c r="K9" s="53">
        <v>12</v>
      </c>
      <c r="M9" s="53">
        <v>8</v>
      </c>
      <c r="N9" s="53">
        <v>27</v>
      </c>
      <c r="P9" s="51"/>
      <c r="Q9" s="51"/>
      <c r="R9" s="51"/>
      <c r="S9" s="51"/>
    </row>
    <row r="10" spans="1:19" ht="14.1">
      <c r="A10" s="31" t="s">
        <v>11</v>
      </c>
      <c r="B10" s="6" t="s">
        <v>9</v>
      </c>
      <c r="C10" s="8">
        <v>0</v>
      </c>
      <c r="D10">
        <v>2</v>
      </c>
      <c r="F10" t="s">
        <v>14</v>
      </c>
      <c r="G10">
        <v>2</v>
      </c>
      <c r="H10" s="17">
        <v>0</v>
      </c>
      <c r="J10" s="53">
        <v>9</v>
      </c>
      <c r="K10" s="53">
        <v>30</v>
      </c>
      <c r="M10" s="53">
        <v>9</v>
      </c>
      <c r="N10" s="53">
        <v>21</v>
      </c>
      <c r="P10" s="51"/>
      <c r="Q10" s="51"/>
      <c r="R10" s="51"/>
      <c r="S10" s="51"/>
    </row>
    <row r="11" spans="1:19" ht="14.1">
      <c r="A11" s="31" t="s">
        <v>12</v>
      </c>
      <c r="B11" s="31" t="s">
        <v>8</v>
      </c>
      <c r="C11" s="8">
        <v>0</v>
      </c>
      <c r="D11">
        <v>1</v>
      </c>
      <c r="F11" t="s">
        <v>15</v>
      </c>
      <c r="G11">
        <v>4</v>
      </c>
      <c r="H11" s="17">
        <v>0</v>
      </c>
      <c r="J11" s="53">
        <v>10</v>
      </c>
      <c r="K11" s="53">
        <v>6</v>
      </c>
      <c r="M11" s="53">
        <v>10</v>
      </c>
      <c r="N11" s="53">
        <v>19</v>
      </c>
      <c r="P11" s="51"/>
      <c r="Q11" s="51"/>
      <c r="R11" s="51"/>
      <c r="S11" s="51"/>
    </row>
    <row r="12" spans="1:19" ht="14.1">
      <c r="A12" s="31" t="s">
        <v>12</v>
      </c>
      <c r="B12" s="6" t="s">
        <v>9</v>
      </c>
      <c r="C12" s="8">
        <v>5</v>
      </c>
      <c r="D12">
        <v>2</v>
      </c>
      <c r="F12" t="s">
        <v>18</v>
      </c>
      <c r="G12">
        <v>5</v>
      </c>
      <c r="H12" s="17">
        <v>43</v>
      </c>
      <c r="J12" s="53">
        <v>11</v>
      </c>
      <c r="K12" s="53">
        <v>0</v>
      </c>
      <c r="M12" s="53">
        <v>11</v>
      </c>
      <c r="N12" s="53">
        <v>18</v>
      </c>
      <c r="P12" s="51"/>
      <c r="Q12" s="51"/>
      <c r="R12" s="51"/>
      <c r="S12" s="51"/>
    </row>
    <row r="13" spans="1:19" ht="14.1">
      <c r="A13" s="31" t="s">
        <v>13</v>
      </c>
      <c r="B13" s="6" t="s">
        <v>8</v>
      </c>
      <c r="C13" s="8">
        <v>0</v>
      </c>
      <c r="D13">
        <v>1</v>
      </c>
      <c r="F13" t="s">
        <v>20</v>
      </c>
      <c r="G13">
        <v>3</v>
      </c>
      <c r="H13" s="17">
        <v>0</v>
      </c>
      <c r="J13" s="53">
        <v>12</v>
      </c>
      <c r="K13" s="53">
        <v>20</v>
      </c>
      <c r="M13" s="53">
        <v>12</v>
      </c>
      <c r="N13" s="53">
        <v>15</v>
      </c>
      <c r="P13" s="51"/>
      <c r="Q13" s="51"/>
      <c r="R13" s="51"/>
      <c r="S13" s="51"/>
    </row>
    <row r="14" spans="1:19" ht="14.1">
      <c r="A14" s="31" t="s">
        <v>13</v>
      </c>
      <c r="B14" s="6" t="s">
        <v>9</v>
      </c>
      <c r="C14" s="8">
        <v>0</v>
      </c>
      <c r="D14">
        <v>2</v>
      </c>
      <c r="F14" t="s">
        <v>21</v>
      </c>
      <c r="G14">
        <v>1</v>
      </c>
      <c r="H14" s="17">
        <v>0</v>
      </c>
      <c r="J14" s="53">
        <v>13</v>
      </c>
      <c r="K14" s="53">
        <v>10</v>
      </c>
      <c r="M14" s="53">
        <v>13</v>
      </c>
      <c r="N14" s="53">
        <v>15</v>
      </c>
      <c r="P14" s="51"/>
      <c r="Q14" s="51"/>
      <c r="R14" s="51"/>
      <c r="S14" s="51"/>
    </row>
    <row r="15" spans="1:19" ht="14.1">
      <c r="A15" s="31" t="s">
        <v>14</v>
      </c>
      <c r="B15" s="6" t="s">
        <v>8</v>
      </c>
      <c r="C15" s="8">
        <v>0</v>
      </c>
      <c r="D15">
        <v>1</v>
      </c>
      <c r="F15" t="s">
        <v>22</v>
      </c>
      <c r="G15">
        <v>2</v>
      </c>
      <c r="H15" s="17">
        <v>1</v>
      </c>
      <c r="J15" s="53">
        <v>14</v>
      </c>
      <c r="K15" s="53">
        <v>69</v>
      </c>
      <c r="M15" s="53">
        <v>14</v>
      </c>
      <c r="N15" s="53">
        <v>15</v>
      </c>
      <c r="P15" s="51"/>
      <c r="Q15" s="51"/>
      <c r="R15" s="51"/>
      <c r="S15" s="51"/>
    </row>
    <row r="16" spans="1:19" ht="14.1">
      <c r="A16" s="31" t="s">
        <v>14</v>
      </c>
      <c r="B16" s="6" t="s">
        <v>9</v>
      </c>
      <c r="C16" s="8">
        <v>0</v>
      </c>
      <c r="D16">
        <v>2</v>
      </c>
      <c r="F16" t="s">
        <v>23</v>
      </c>
      <c r="G16">
        <v>2</v>
      </c>
      <c r="H16" s="17">
        <v>0</v>
      </c>
      <c r="J16" s="53">
        <v>15</v>
      </c>
      <c r="K16" s="53">
        <v>24</v>
      </c>
      <c r="M16" s="53">
        <v>15</v>
      </c>
      <c r="N16" s="53">
        <v>15</v>
      </c>
      <c r="P16" s="51"/>
      <c r="Q16" s="51"/>
      <c r="R16" s="51"/>
      <c r="S16" s="51"/>
    </row>
    <row r="17" spans="1:19" ht="14.1">
      <c r="A17" s="31" t="s">
        <v>15</v>
      </c>
      <c r="B17" s="6" t="s">
        <v>16</v>
      </c>
      <c r="C17" s="8">
        <v>0</v>
      </c>
      <c r="D17">
        <v>1</v>
      </c>
      <c r="F17" t="s">
        <v>24</v>
      </c>
      <c r="G17">
        <v>2</v>
      </c>
      <c r="H17" s="17">
        <v>5</v>
      </c>
      <c r="J17" s="53">
        <v>16</v>
      </c>
      <c r="K17" s="53">
        <v>6</v>
      </c>
      <c r="M17" s="53">
        <v>16</v>
      </c>
      <c r="N17" s="53">
        <v>13</v>
      </c>
      <c r="P17" s="51"/>
      <c r="Q17" s="51"/>
      <c r="R17" s="51"/>
      <c r="S17" s="51"/>
    </row>
    <row r="18" spans="1:19" ht="14.1">
      <c r="A18" s="31" t="s">
        <v>15</v>
      </c>
      <c r="B18" s="6" t="s">
        <v>17</v>
      </c>
      <c r="C18" s="8">
        <v>0</v>
      </c>
      <c r="D18">
        <v>2</v>
      </c>
      <c r="F18" t="s">
        <v>25</v>
      </c>
      <c r="G18">
        <v>3</v>
      </c>
      <c r="H18" s="17">
        <v>5</v>
      </c>
      <c r="J18" s="53">
        <v>17</v>
      </c>
      <c r="K18" s="53">
        <v>0</v>
      </c>
      <c r="M18" s="53">
        <v>17</v>
      </c>
      <c r="N18" s="53">
        <v>12</v>
      </c>
      <c r="P18" s="51"/>
    </row>
    <row r="19" spans="1:19" ht="14.1">
      <c r="A19" s="31" t="s">
        <v>15</v>
      </c>
      <c r="B19" s="6" t="s">
        <v>8</v>
      </c>
      <c r="C19" s="8">
        <v>0</v>
      </c>
      <c r="D19">
        <v>3</v>
      </c>
      <c r="F19" t="s">
        <v>26</v>
      </c>
      <c r="G19">
        <v>2</v>
      </c>
      <c r="H19" s="17">
        <v>0</v>
      </c>
      <c r="J19" s="53">
        <v>18</v>
      </c>
      <c r="K19" s="53">
        <v>61</v>
      </c>
      <c r="M19" s="53">
        <v>18</v>
      </c>
      <c r="N19" s="53">
        <v>10</v>
      </c>
      <c r="P19" s="51"/>
    </row>
    <row r="20" spans="1:19" ht="14.1">
      <c r="A20" s="31" t="s">
        <v>15</v>
      </c>
      <c r="B20" s="6" t="s">
        <v>9</v>
      </c>
      <c r="C20" s="8">
        <v>0</v>
      </c>
      <c r="D20">
        <v>4</v>
      </c>
      <c r="F20" t="s">
        <v>27</v>
      </c>
      <c r="G20">
        <v>4</v>
      </c>
      <c r="H20" s="17">
        <v>3</v>
      </c>
      <c r="J20" s="53">
        <v>19</v>
      </c>
      <c r="K20" s="53">
        <v>0</v>
      </c>
      <c r="M20" s="53">
        <v>19</v>
      </c>
      <c r="N20" s="53">
        <v>8</v>
      </c>
      <c r="P20" s="51"/>
    </row>
    <row r="21" spans="1:19" ht="14.1">
      <c r="A21" s="31" t="s">
        <v>18</v>
      </c>
      <c r="B21" s="6" t="s">
        <v>16</v>
      </c>
      <c r="C21" s="8">
        <v>19</v>
      </c>
      <c r="D21">
        <v>1</v>
      </c>
      <c r="F21" t="s">
        <v>28</v>
      </c>
      <c r="G21">
        <v>2</v>
      </c>
      <c r="H21" s="17">
        <v>0</v>
      </c>
      <c r="J21" s="53">
        <v>20</v>
      </c>
      <c r="K21" s="53">
        <v>0</v>
      </c>
      <c r="M21" s="53">
        <v>20</v>
      </c>
      <c r="N21" s="53">
        <v>5</v>
      </c>
      <c r="P21" s="51"/>
    </row>
    <row r="22" spans="1:19" ht="14.1">
      <c r="A22" s="31" t="s">
        <v>18</v>
      </c>
      <c r="B22" s="6" t="s">
        <v>17</v>
      </c>
      <c r="C22" s="8">
        <v>9</v>
      </c>
      <c r="D22">
        <v>2</v>
      </c>
      <c r="F22" t="s">
        <v>29</v>
      </c>
      <c r="G22">
        <v>2</v>
      </c>
      <c r="H22" s="17">
        <v>5</v>
      </c>
      <c r="J22" s="53">
        <v>21</v>
      </c>
      <c r="K22" s="53">
        <v>0</v>
      </c>
      <c r="M22" s="53">
        <v>21</v>
      </c>
      <c r="N22" s="53">
        <v>3</v>
      </c>
      <c r="P22" s="51"/>
    </row>
    <row r="23" spans="1:19">
      <c r="A23" s="31" t="s">
        <v>18</v>
      </c>
      <c r="B23" s="6" t="s">
        <v>19</v>
      </c>
      <c r="C23" s="8">
        <v>0</v>
      </c>
      <c r="D23">
        <v>3</v>
      </c>
      <c r="F23" t="s">
        <v>30</v>
      </c>
      <c r="G23">
        <v>2</v>
      </c>
      <c r="H23" s="17">
        <v>1</v>
      </c>
    </row>
    <row r="24" spans="1:19">
      <c r="A24" s="31" t="s">
        <v>18</v>
      </c>
      <c r="B24" s="6" t="s">
        <v>8</v>
      </c>
      <c r="C24" s="8">
        <v>15</v>
      </c>
      <c r="D24">
        <v>4</v>
      </c>
      <c r="F24" t="s">
        <v>31</v>
      </c>
      <c r="G24">
        <v>1</v>
      </c>
      <c r="H24" s="17">
        <v>0</v>
      </c>
    </row>
    <row r="25" spans="1:19">
      <c r="A25" s="31" t="s">
        <v>18</v>
      </c>
      <c r="B25" s="6" t="s">
        <v>9</v>
      </c>
      <c r="C25" s="8">
        <v>0</v>
      </c>
      <c r="D25">
        <v>5</v>
      </c>
      <c r="F25" t="s">
        <v>32</v>
      </c>
      <c r="G25">
        <v>2</v>
      </c>
      <c r="H25" s="17">
        <v>1</v>
      </c>
    </row>
    <row r="26" spans="1:19">
      <c r="A26" s="31" t="s">
        <v>20</v>
      </c>
      <c r="B26" s="6" t="s">
        <v>17</v>
      </c>
      <c r="C26" s="8">
        <v>0</v>
      </c>
      <c r="D26">
        <v>1</v>
      </c>
      <c r="F26" t="s">
        <v>33</v>
      </c>
      <c r="G26">
        <v>2</v>
      </c>
      <c r="H26" s="17">
        <v>0</v>
      </c>
      <c r="J26" s="54" t="s">
        <v>0</v>
      </c>
      <c r="K26" s="54" t="s">
        <v>497</v>
      </c>
      <c r="L26" s="54" t="s">
        <v>490</v>
      </c>
      <c r="M26" s="54" t="s">
        <v>498</v>
      </c>
      <c r="N26" s="54" t="s">
        <v>499</v>
      </c>
    </row>
    <row r="27" spans="1:19">
      <c r="A27" s="31" t="s">
        <v>20</v>
      </c>
      <c r="B27" s="6" t="s">
        <v>8</v>
      </c>
      <c r="C27" s="8">
        <v>0</v>
      </c>
      <c r="D27">
        <v>2</v>
      </c>
      <c r="F27" t="s">
        <v>34</v>
      </c>
      <c r="G27">
        <v>1</v>
      </c>
      <c r="H27" s="17">
        <v>0</v>
      </c>
      <c r="J27" s="55" t="s">
        <v>1</v>
      </c>
      <c r="K27" s="55" t="s">
        <v>2</v>
      </c>
      <c r="L27" s="56">
        <v>0</v>
      </c>
      <c r="M27" s="25">
        <v>1</v>
      </c>
      <c r="N27" s="25">
        <v>0</v>
      </c>
    </row>
    <row r="28" spans="1:19">
      <c r="A28" s="31" t="s">
        <v>20</v>
      </c>
      <c r="B28" s="6" t="s">
        <v>9</v>
      </c>
      <c r="C28" s="8">
        <v>0</v>
      </c>
      <c r="D28">
        <v>3</v>
      </c>
      <c r="F28" t="s">
        <v>35</v>
      </c>
      <c r="G28">
        <v>2</v>
      </c>
      <c r="H28" s="17">
        <v>0</v>
      </c>
      <c r="J28" s="55" t="s">
        <v>7</v>
      </c>
      <c r="K28" s="55" t="s">
        <v>8</v>
      </c>
      <c r="L28" s="56">
        <v>11</v>
      </c>
      <c r="M28" s="25">
        <v>1</v>
      </c>
      <c r="N28" s="25">
        <v>11</v>
      </c>
    </row>
    <row r="29" spans="1:19">
      <c r="A29" s="31" t="s">
        <v>21</v>
      </c>
      <c r="B29" s="6" t="s">
        <v>19</v>
      </c>
      <c r="C29" s="8">
        <v>0</v>
      </c>
      <c r="D29">
        <v>1</v>
      </c>
      <c r="F29" t="s">
        <v>36</v>
      </c>
      <c r="G29">
        <v>2</v>
      </c>
      <c r="H29" s="17">
        <v>0</v>
      </c>
      <c r="J29" s="55" t="s">
        <v>7</v>
      </c>
      <c r="K29" s="55" t="s">
        <v>9</v>
      </c>
      <c r="L29" s="56">
        <v>4</v>
      </c>
      <c r="M29" s="25">
        <v>2</v>
      </c>
      <c r="N29" s="25">
        <v>4</v>
      </c>
    </row>
    <row r="30" spans="1:19">
      <c r="A30" s="31" t="s">
        <v>22</v>
      </c>
      <c r="B30" s="6" t="s">
        <v>8</v>
      </c>
      <c r="C30" s="8">
        <v>1</v>
      </c>
      <c r="D30">
        <v>1</v>
      </c>
      <c r="F30" t="s">
        <v>37</v>
      </c>
      <c r="G30">
        <v>5</v>
      </c>
      <c r="H30" s="17">
        <v>138</v>
      </c>
      <c r="J30" s="55" t="s">
        <v>18</v>
      </c>
      <c r="K30" s="56" t="s">
        <v>16</v>
      </c>
      <c r="L30" s="56">
        <v>19</v>
      </c>
      <c r="M30" s="25">
        <v>1</v>
      </c>
      <c r="N30" s="25">
        <v>30</v>
      </c>
    </row>
    <row r="31" spans="1:19">
      <c r="A31" s="31" t="s">
        <v>22</v>
      </c>
      <c r="B31" s="6" t="s">
        <v>9</v>
      </c>
      <c r="C31" s="8">
        <v>0</v>
      </c>
      <c r="D31">
        <v>2</v>
      </c>
      <c r="F31" t="s">
        <v>38</v>
      </c>
      <c r="G31">
        <v>2</v>
      </c>
      <c r="H31" s="17">
        <v>10</v>
      </c>
      <c r="J31" s="55" t="s">
        <v>18</v>
      </c>
      <c r="K31" s="56" t="s">
        <v>17</v>
      </c>
      <c r="L31" s="56">
        <v>9</v>
      </c>
      <c r="M31" s="25">
        <v>2</v>
      </c>
      <c r="N31" s="25">
        <v>13</v>
      </c>
    </row>
    <row r="32" spans="1:19">
      <c r="A32" s="31" t="s">
        <v>23</v>
      </c>
      <c r="B32" s="6" t="s">
        <v>8</v>
      </c>
      <c r="C32" s="8">
        <v>0</v>
      </c>
      <c r="D32">
        <v>1</v>
      </c>
      <c r="F32" t="s">
        <v>39</v>
      </c>
      <c r="G32">
        <v>4</v>
      </c>
      <c r="H32" s="17">
        <v>0</v>
      </c>
      <c r="J32" s="55" t="s">
        <v>18</v>
      </c>
      <c r="K32" s="56" t="s">
        <v>19</v>
      </c>
      <c r="L32" s="56">
        <v>0</v>
      </c>
      <c r="M32" s="25">
        <v>3</v>
      </c>
      <c r="N32" s="25">
        <v>0</v>
      </c>
    </row>
    <row r="33" spans="1:14">
      <c r="A33" s="31" t="s">
        <v>23</v>
      </c>
      <c r="B33" s="6" t="s">
        <v>9</v>
      </c>
      <c r="C33" s="8">
        <v>0</v>
      </c>
      <c r="D33">
        <v>2</v>
      </c>
      <c r="F33" t="s">
        <v>40</v>
      </c>
      <c r="G33">
        <v>3</v>
      </c>
      <c r="H33" s="17">
        <v>0</v>
      </c>
      <c r="J33" s="55" t="s">
        <v>18</v>
      </c>
      <c r="K33" s="56" t="s">
        <v>8</v>
      </c>
      <c r="L33" s="56">
        <v>15</v>
      </c>
      <c r="M33" s="25">
        <v>4</v>
      </c>
      <c r="N33" s="25">
        <v>15</v>
      </c>
    </row>
    <row r="34" spans="1:14">
      <c r="A34" s="31" t="s">
        <v>24</v>
      </c>
      <c r="B34" s="6" t="s">
        <v>8</v>
      </c>
      <c r="C34" s="8">
        <v>0</v>
      </c>
      <c r="D34">
        <v>1</v>
      </c>
      <c r="F34" t="s">
        <v>41</v>
      </c>
      <c r="G34">
        <v>3</v>
      </c>
      <c r="H34" s="17">
        <v>86</v>
      </c>
      <c r="J34" s="55" t="s">
        <v>18</v>
      </c>
      <c r="K34" s="56" t="s">
        <v>9</v>
      </c>
      <c r="L34" s="56">
        <v>0</v>
      </c>
      <c r="M34" s="25">
        <v>5</v>
      </c>
      <c r="N34" s="25">
        <v>0</v>
      </c>
    </row>
    <row r="35" spans="1:14">
      <c r="A35" s="31" t="s">
        <v>24</v>
      </c>
      <c r="B35" s="6" t="s">
        <v>9</v>
      </c>
      <c r="C35" s="8">
        <v>5</v>
      </c>
      <c r="D35">
        <v>2</v>
      </c>
      <c r="F35" t="s">
        <v>42</v>
      </c>
      <c r="G35">
        <v>2</v>
      </c>
      <c r="H35" s="17">
        <v>6</v>
      </c>
    </row>
    <row r="36" spans="1:14">
      <c r="A36" s="31" t="s">
        <v>25</v>
      </c>
      <c r="B36" s="6" t="s">
        <v>19</v>
      </c>
      <c r="C36" s="8">
        <v>5</v>
      </c>
      <c r="D36">
        <v>1</v>
      </c>
      <c r="F36" t="s">
        <v>43</v>
      </c>
      <c r="G36">
        <v>1</v>
      </c>
      <c r="H36" s="17">
        <v>0</v>
      </c>
    </row>
    <row r="37" spans="1:14">
      <c r="A37" s="31" t="s">
        <v>25</v>
      </c>
      <c r="B37" s="6" t="s">
        <v>8</v>
      </c>
      <c r="C37" s="8">
        <v>0</v>
      </c>
      <c r="D37">
        <v>2</v>
      </c>
      <c r="F37" t="s">
        <v>44</v>
      </c>
      <c r="G37">
        <v>2</v>
      </c>
      <c r="H37" s="17">
        <v>0</v>
      </c>
    </row>
    <row r="38" spans="1:14">
      <c r="A38" s="31" t="s">
        <v>25</v>
      </c>
      <c r="B38" s="6" t="s">
        <v>9</v>
      </c>
      <c r="C38" s="8">
        <v>0</v>
      </c>
      <c r="D38">
        <v>3</v>
      </c>
      <c r="F38" t="s">
        <v>47</v>
      </c>
      <c r="G38">
        <v>1</v>
      </c>
      <c r="H38" s="17">
        <v>9</v>
      </c>
      <c r="J38" s="54" t="s">
        <v>0</v>
      </c>
      <c r="K38" s="54" t="s">
        <v>490</v>
      </c>
      <c r="L38" s="54" t="s">
        <v>498</v>
      </c>
      <c r="M38" s="54" t="s">
        <v>499</v>
      </c>
    </row>
    <row r="39" spans="1:14">
      <c r="A39" s="31" t="s">
        <v>26</v>
      </c>
      <c r="B39" s="6" t="s">
        <v>8</v>
      </c>
      <c r="C39" s="8">
        <v>0</v>
      </c>
      <c r="D39">
        <v>1</v>
      </c>
      <c r="F39" t="s">
        <v>49</v>
      </c>
      <c r="G39">
        <v>1</v>
      </c>
      <c r="H39" s="17">
        <v>0</v>
      </c>
      <c r="J39" s="25" t="s">
        <v>500</v>
      </c>
      <c r="K39" s="56">
        <v>0</v>
      </c>
      <c r="L39" s="25">
        <v>1</v>
      </c>
      <c r="M39" s="25">
        <v>0</v>
      </c>
    </row>
    <row r="40" spans="1:14">
      <c r="A40" s="31" t="s">
        <v>26</v>
      </c>
      <c r="B40" s="6" t="s">
        <v>9</v>
      </c>
      <c r="C40" s="8">
        <v>0</v>
      </c>
      <c r="D40">
        <v>2</v>
      </c>
      <c r="F40" t="s">
        <v>51</v>
      </c>
      <c r="G40">
        <v>1</v>
      </c>
      <c r="H40" s="17">
        <v>3</v>
      </c>
      <c r="J40" s="25" t="s">
        <v>503</v>
      </c>
      <c r="K40" s="56">
        <v>11</v>
      </c>
      <c r="L40" s="25">
        <v>1</v>
      </c>
      <c r="M40" s="25">
        <v>11</v>
      </c>
    </row>
    <row r="41" spans="1:14">
      <c r="A41" s="31" t="s">
        <v>27</v>
      </c>
      <c r="B41" s="6" t="s">
        <v>16</v>
      </c>
      <c r="C41" s="8">
        <v>3</v>
      </c>
      <c r="D41">
        <v>1</v>
      </c>
      <c r="F41" t="s">
        <v>53</v>
      </c>
      <c r="G41">
        <v>3</v>
      </c>
      <c r="H41" s="17">
        <v>3</v>
      </c>
      <c r="J41" s="25" t="s">
        <v>501</v>
      </c>
      <c r="K41" s="56">
        <v>4</v>
      </c>
      <c r="L41" s="25">
        <v>2</v>
      </c>
      <c r="M41" s="25">
        <v>4</v>
      </c>
    </row>
    <row r="42" spans="1:14">
      <c r="A42" s="31" t="s">
        <v>27</v>
      </c>
      <c r="B42" s="6" t="s">
        <v>17</v>
      </c>
      <c r="C42" s="8">
        <v>0</v>
      </c>
      <c r="D42">
        <v>2</v>
      </c>
      <c r="F42" t="s">
        <v>57</v>
      </c>
      <c r="G42">
        <v>1</v>
      </c>
      <c r="H42" s="17">
        <v>2</v>
      </c>
      <c r="J42" s="25" t="s">
        <v>505</v>
      </c>
      <c r="K42" s="56">
        <v>19</v>
      </c>
      <c r="L42" s="25">
        <v>1</v>
      </c>
      <c r="M42" s="25">
        <v>30</v>
      </c>
    </row>
    <row r="43" spans="1:14">
      <c r="A43" s="31" t="s">
        <v>27</v>
      </c>
      <c r="B43" s="6" t="s">
        <v>8</v>
      </c>
      <c r="C43" s="8">
        <v>0</v>
      </c>
      <c r="D43">
        <v>3</v>
      </c>
      <c r="F43" t="s">
        <v>59</v>
      </c>
      <c r="G43">
        <v>1</v>
      </c>
      <c r="H43" s="17">
        <v>3</v>
      </c>
      <c r="J43" s="25" t="s">
        <v>504</v>
      </c>
      <c r="K43" s="56">
        <v>9</v>
      </c>
      <c r="L43" s="25">
        <v>2</v>
      </c>
      <c r="M43" s="25">
        <v>13</v>
      </c>
    </row>
    <row r="44" spans="1:14">
      <c r="A44" s="31" t="s">
        <v>27</v>
      </c>
      <c r="B44" s="6" t="s">
        <v>9</v>
      </c>
      <c r="C44" s="8">
        <v>0</v>
      </c>
      <c r="D44">
        <v>4</v>
      </c>
      <c r="F44" t="s">
        <v>60</v>
      </c>
      <c r="G44">
        <v>1</v>
      </c>
      <c r="H44" s="17">
        <v>3</v>
      </c>
      <c r="J44" s="25" t="s">
        <v>502</v>
      </c>
      <c r="K44" s="56">
        <v>0</v>
      </c>
      <c r="L44" s="25">
        <v>3</v>
      </c>
      <c r="M44" s="25">
        <v>0</v>
      </c>
    </row>
    <row r="45" spans="1:14">
      <c r="A45" s="31" t="s">
        <v>28</v>
      </c>
      <c r="B45" s="6" t="s">
        <v>8</v>
      </c>
      <c r="C45" s="8">
        <v>0</v>
      </c>
      <c r="D45">
        <v>1</v>
      </c>
      <c r="F45" t="s">
        <v>61</v>
      </c>
      <c r="G45">
        <v>1</v>
      </c>
      <c r="H45" s="17">
        <v>92</v>
      </c>
      <c r="J45" s="25" t="s">
        <v>506</v>
      </c>
      <c r="K45" s="56">
        <v>15</v>
      </c>
      <c r="L45" s="25">
        <v>4</v>
      </c>
      <c r="M45" s="25">
        <v>15</v>
      </c>
    </row>
    <row r="46" spans="1:14">
      <c r="A46" s="31" t="s">
        <v>28</v>
      </c>
      <c r="B46" s="6" t="s">
        <v>9</v>
      </c>
      <c r="C46" s="8">
        <v>0</v>
      </c>
      <c r="D46">
        <v>2</v>
      </c>
      <c r="F46" t="s">
        <v>63</v>
      </c>
      <c r="G46">
        <v>1</v>
      </c>
      <c r="H46" s="17">
        <v>12</v>
      </c>
      <c r="J46" s="25" t="s">
        <v>507</v>
      </c>
      <c r="K46" s="56">
        <v>0</v>
      </c>
      <c r="L46" s="25">
        <v>5</v>
      </c>
      <c r="M46" s="25">
        <v>0</v>
      </c>
    </row>
    <row r="47" spans="1:14">
      <c r="A47" s="31" t="s">
        <v>29</v>
      </c>
      <c r="B47" s="6" t="s">
        <v>8</v>
      </c>
      <c r="C47" s="8">
        <v>0</v>
      </c>
      <c r="D47">
        <v>1</v>
      </c>
      <c r="F47" t="s">
        <v>65</v>
      </c>
      <c r="G47">
        <v>1</v>
      </c>
      <c r="H47" s="17">
        <v>0</v>
      </c>
    </row>
    <row r="48" spans="1:14">
      <c r="A48" s="31" t="s">
        <v>29</v>
      </c>
      <c r="B48" s="6" t="s">
        <v>9</v>
      </c>
      <c r="C48" s="8">
        <v>5</v>
      </c>
      <c r="D48">
        <v>2</v>
      </c>
      <c r="F48" t="s">
        <v>67</v>
      </c>
      <c r="G48">
        <v>1</v>
      </c>
      <c r="H48" s="17">
        <v>2</v>
      </c>
    </row>
    <row r="49" spans="1:8">
      <c r="A49" s="31" t="s">
        <v>30</v>
      </c>
      <c r="B49" s="6" t="s">
        <v>8</v>
      </c>
      <c r="C49" s="8">
        <v>1</v>
      </c>
      <c r="D49">
        <v>1</v>
      </c>
      <c r="F49" t="s">
        <v>68</v>
      </c>
      <c r="G49">
        <v>1</v>
      </c>
      <c r="H49" s="17">
        <v>3</v>
      </c>
    </row>
    <row r="50" spans="1:8">
      <c r="A50" s="31" t="s">
        <v>30</v>
      </c>
      <c r="B50" s="6" t="s">
        <v>9</v>
      </c>
      <c r="C50" s="8">
        <v>0</v>
      </c>
      <c r="D50">
        <v>2</v>
      </c>
      <c r="F50" t="s">
        <v>69</v>
      </c>
      <c r="G50">
        <v>1</v>
      </c>
      <c r="H50" s="17">
        <v>0</v>
      </c>
    </row>
    <row r="51" spans="1:8">
      <c r="A51" s="31" t="s">
        <v>31</v>
      </c>
      <c r="B51" s="6" t="s">
        <v>8</v>
      </c>
      <c r="C51" s="8">
        <v>0</v>
      </c>
      <c r="D51">
        <v>1</v>
      </c>
      <c r="F51" t="s">
        <v>71</v>
      </c>
      <c r="G51">
        <v>1</v>
      </c>
      <c r="H51" s="17">
        <v>20</v>
      </c>
    </row>
    <row r="52" spans="1:8">
      <c r="A52" s="31" t="s">
        <v>32</v>
      </c>
      <c r="B52" s="6" t="s">
        <v>8</v>
      </c>
      <c r="C52" s="8">
        <v>1</v>
      </c>
      <c r="D52">
        <v>1</v>
      </c>
      <c r="F52" t="s">
        <v>73</v>
      </c>
      <c r="G52">
        <v>2</v>
      </c>
      <c r="H52" s="17">
        <v>8</v>
      </c>
    </row>
    <row r="53" spans="1:8">
      <c r="A53" s="31" t="s">
        <v>32</v>
      </c>
      <c r="B53" s="6" t="s">
        <v>9</v>
      </c>
      <c r="C53" s="8">
        <v>0</v>
      </c>
      <c r="D53">
        <v>2</v>
      </c>
      <c r="F53" t="s">
        <v>75</v>
      </c>
      <c r="G53">
        <v>1</v>
      </c>
      <c r="H53" s="17">
        <v>2</v>
      </c>
    </row>
    <row r="54" spans="1:8">
      <c r="A54" s="31" t="s">
        <v>33</v>
      </c>
      <c r="B54" s="6" t="s">
        <v>8</v>
      </c>
      <c r="C54" s="8">
        <v>0</v>
      </c>
      <c r="D54">
        <v>1</v>
      </c>
      <c r="F54" t="s">
        <v>77</v>
      </c>
      <c r="G54">
        <v>1</v>
      </c>
      <c r="H54" s="17">
        <v>0</v>
      </c>
    </row>
    <row r="55" spans="1:8">
      <c r="A55" s="31" t="s">
        <v>33</v>
      </c>
      <c r="B55" s="6" t="s">
        <v>9</v>
      </c>
      <c r="C55" s="8">
        <v>0</v>
      </c>
      <c r="D55">
        <v>2</v>
      </c>
      <c r="F55" t="s">
        <v>78</v>
      </c>
      <c r="G55">
        <v>2</v>
      </c>
      <c r="H55" s="17">
        <v>0</v>
      </c>
    </row>
    <row r="56" spans="1:8">
      <c r="A56" s="31" t="s">
        <v>34</v>
      </c>
      <c r="B56" s="6" t="s">
        <v>8</v>
      </c>
      <c r="C56" s="8">
        <v>0</v>
      </c>
      <c r="D56">
        <v>1</v>
      </c>
      <c r="F56" t="s">
        <v>81</v>
      </c>
      <c r="G56">
        <v>3</v>
      </c>
      <c r="H56" s="17">
        <v>0</v>
      </c>
    </row>
    <row r="57" spans="1:8">
      <c r="A57" s="31" t="s">
        <v>35</v>
      </c>
      <c r="B57" s="6" t="s">
        <v>8</v>
      </c>
      <c r="C57" s="8">
        <v>0</v>
      </c>
      <c r="D57">
        <v>1</v>
      </c>
      <c r="F57" t="s">
        <v>85</v>
      </c>
      <c r="G57">
        <v>1</v>
      </c>
      <c r="H57" s="17">
        <v>0</v>
      </c>
    </row>
    <row r="58" spans="1:8">
      <c r="A58" s="31" t="s">
        <v>35</v>
      </c>
      <c r="B58" s="6" t="s">
        <v>9</v>
      </c>
      <c r="C58" s="8">
        <v>0</v>
      </c>
      <c r="D58">
        <v>2</v>
      </c>
      <c r="F58" t="s">
        <v>87</v>
      </c>
      <c r="G58">
        <v>1</v>
      </c>
      <c r="H58" s="17">
        <v>0</v>
      </c>
    </row>
    <row r="59" spans="1:8">
      <c r="A59" s="31" t="s">
        <v>36</v>
      </c>
      <c r="B59" s="6" t="s">
        <v>8</v>
      </c>
      <c r="C59" s="8">
        <v>0</v>
      </c>
      <c r="D59">
        <v>1</v>
      </c>
      <c r="F59" t="s">
        <v>89</v>
      </c>
      <c r="G59">
        <v>3</v>
      </c>
      <c r="H59" s="17">
        <v>0</v>
      </c>
    </row>
    <row r="60" spans="1:8">
      <c r="A60" s="31" t="s">
        <v>36</v>
      </c>
      <c r="B60" s="6" t="s">
        <v>9</v>
      </c>
      <c r="C60" s="8">
        <v>0</v>
      </c>
      <c r="D60">
        <v>2</v>
      </c>
      <c r="F60" t="s">
        <v>93</v>
      </c>
      <c r="G60">
        <v>1</v>
      </c>
      <c r="H60" s="17">
        <v>24</v>
      </c>
    </row>
    <row r="61" spans="1:8">
      <c r="A61" s="31" t="s">
        <v>37</v>
      </c>
      <c r="B61" s="6" t="s">
        <v>16</v>
      </c>
      <c r="C61" s="8">
        <v>40</v>
      </c>
      <c r="D61">
        <v>1</v>
      </c>
      <c r="F61" t="s">
        <v>95</v>
      </c>
      <c r="G61">
        <v>4</v>
      </c>
      <c r="H61" s="17">
        <v>80</v>
      </c>
    </row>
    <row r="62" spans="1:8">
      <c r="A62" s="31" t="s">
        <v>37</v>
      </c>
      <c r="B62" s="6" t="s">
        <v>17</v>
      </c>
      <c r="C62" s="8">
        <v>92</v>
      </c>
      <c r="D62">
        <v>2</v>
      </c>
      <c r="F62" t="s">
        <v>100</v>
      </c>
      <c r="G62">
        <v>3</v>
      </c>
      <c r="H62" s="17">
        <v>41</v>
      </c>
    </row>
    <row r="63" spans="1:8">
      <c r="A63" s="31" t="s">
        <v>37</v>
      </c>
      <c r="B63" s="6" t="s">
        <v>19</v>
      </c>
      <c r="C63" s="8">
        <v>0</v>
      </c>
      <c r="D63">
        <v>3</v>
      </c>
      <c r="F63" t="s">
        <v>104</v>
      </c>
      <c r="G63">
        <v>1</v>
      </c>
      <c r="H63" s="17">
        <v>0</v>
      </c>
    </row>
    <row r="64" spans="1:8">
      <c r="A64" s="31" t="s">
        <v>37</v>
      </c>
      <c r="B64" s="6" t="s">
        <v>8</v>
      </c>
      <c r="C64" s="8">
        <v>6</v>
      </c>
      <c r="D64">
        <v>4</v>
      </c>
      <c r="F64" t="s">
        <v>106</v>
      </c>
      <c r="G64">
        <v>2</v>
      </c>
      <c r="H64" s="17">
        <v>0</v>
      </c>
    </row>
    <row r="65" spans="1:8">
      <c r="A65" s="31" t="s">
        <v>37</v>
      </c>
      <c r="B65" s="6" t="s">
        <v>9</v>
      </c>
      <c r="C65" s="8">
        <v>0</v>
      </c>
      <c r="D65">
        <v>5</v>
      </c>
      <c r="F65" t="s">
        <v>109</v>
      </c>
      <c r="G65">
        <v>5</v>
      </c>
      <c r="H65" s="17">
        <v>4</v>
      </c>
    </row>
    <row r="66" spans="1:8">
      <c r="A66" s="31" t="s">
        <v>38</v>
      </c>
      <c r="B66" s="6" t="s">
        <v>8</v>
      </c>
      <c r="C66" s="8">
        <v>2</v>
      </c>
      <c r="D66">
        <v>1</v>
      </c>
      <c r="F66" t="s">
        <v>115</v>
      </c>
      <c r="G66">
        <v>5</v>
      </c>
      <c r="H66" s="17">
        <v>0</v>
      </c>
    </row>
    <row r="67" spans="1:8">
      <c r="A67" s="31" t="s">
        <v>38</v>
      </c>
      <c r="B67" s="6" t="s">
        <v>9</v>
      </c>
      <c r="C67" s="8">
        <v>8</v>
      </c>
      <c r="D67">
        <v>2</v>
      </c>
      <c r="F67" t="s">
        <v>119</v>
      </c>
      <c r="G67">
        <v>1</v>
      </c>
      <c r="H67" s="17">
        <v>1</v>
      </c>
    </row>
    <row r="68" spans="1:8">
      <c r="A68" s="31" t="s">
        <v>39</v>
      </c>
      <c r="B68" s="6" t="s">
        <v>17</v>
      </c>
      <c r="C68" s="8">
        <v>0</v>
      </c>
      <c r="D68">
        <v>1</v>
      </c>
      <c r="F68" t="s">
        <v>121</v>
      </c>
      <c r="G68">
        <v>1</v>
      </c>
      <c r="H68" s="17">
        <v>1</v>
      </c>
    </row>
    <row r="69" spans="1:8">
      <c r="A69" s="31" t="s">
        <v>39</v>
      </c>
      <c r="B69" s="6" t="s">
        <v>19</v>
      </c>
      <c r="C69" s="8">
        <v>0</v>
      </c>
      <c r="D69">
        <v>2</v>
      </c>
      <c r="F69" t="s">
        <v>123</v>
      </c>
      <c r="G69">
        <v>3</v>
      </c>
      <c r="H69" s="17">
        <v>0</v>
      </c>
    </row>
    <row r="70" spans="1:8">
      <c r="A70" s="31" t="s">
        <v>39</v>
      </c>
      <c r="B70" s="6" t="s">
        <v>8</v>
      </c>
      <c r="C70" s="8">
        <v>0</v>
      </c>
      <c r="D70">
        <v>3</v>
      </c>
      <c r="F70" t="s">
        <v>126</v>
      </c>
      <c r="G70">
        <v>1</v>
      </c>
      <c r="H70" s="17">
        <v>0</v>
      </c>
    </row>
    <row r="71" spans="1:8">
      <c r="A71" s="31" t="s">
        <v>39</v>
      </c>
      <c r="B71" s="6" t="s">
        <v>9</v>
      </c>
      <c r="C71" s="8">
        <v>0</v>
      </c>
      <c r="D71">
        <v>4</v>
      </c>
      <c r="F71" t="s">
        <v>128</v>
      </c>
      <c r="G71">
        <v>3</v>
      </c>
      <c r="H71" s="17">
        <v>4</v>
      </c>
    </row>
    <row r="72" spans="1:8">
      <c r="A72" s="31" t="s">
        <v>40</v>
      </c>
      <c r="B72" s="6" t="s">
        <v>17</v>
      </c>
      <c r="C72" s="8">
        <v>0</v>
      </c>
      <c r="D72">
        <v>1</v>
      </c>
      <c r="F72" t="s">
        <v>130</v>
      </c>
      <c r="G72">
        <v>3</v>
      </c>
      <c r="H72" s="17">
        <v>0</v>
      </c>
    </row>
    <row r="73" spans="1:8">
      <c r="A73" s="31" t="s">
        <v>40</v>
      </c>
      <c r="B73" s="6" t="s">
        <v>8</v>
      </c>
      <c r="C73" s="8">
        <v>0</v>
      </c>
      <c r="D73">
        <v>2</v>
      </c>
      <c r="F73" t="s">
        <v>134</v>
      </c>
      <c r="G73">
        <v>3</v>
      </c>
      <c r="H73" s="17">
        <v>0</v>
      </c>
    </row>
    <row r="74" spans="1:8">
      <c r="A74" s="31" t="s">
        <v>40</v>
      </c>
      <c r="B74" s="6" t="s">
        <v>9</v>
      </c>
      <c r="C74" s="8">
        <v>0</v>
      </c>
      <c r="D74">
        <v>3</v>
      </c>
      <c r="F74" t="s">
        <v>138</v>
      </c>
      <c r="G74">
        <v>2</v>
      </c>
      <c r="H74" s="17">
        <v>0</v>
      </c>
    </row>
    <row r="75" spans="1:8">
      <c r="A75" s="31" t="s">
        <v>41</v>
      </c>
      <c r="B75" s="6" t="s">
        <v>16</v>
      </c>
      <c r="C75" s="8">
        <v>73</v>
      </c>
      <c r="D75">
        <v>1</v>
      </c>
      <c r="F75" t="s">
        <v>141</v>
      </c>
      <c r="G75">
        <v>3</v>
      </c>
      <c r="H75" s="17">
        <v>4</v>
      </c>
    </row>
    <row r="76" spans="1:8">
      <c r="A76" s="31" t="s">
        <v>41</v>
      </c>
      <c r="B76" s="6" t="s">
        <v>8</v>
      </c>
      <c r="C76" s="8">
        <v>0</v>
      </c>
      <c r="D76">
        <v>2</v>
      </c>
      <c r="F76" t="s">
        <v>142</v>
      </c>
      <c r="G76">
        <v>1</v>
      </c>
      <c r="H76" s="17">
        <v>0</v>
      </c>
    </row>
    <row r="77" spans="1:8">
      <c r="A77" s="31" t="s">
        <v>41</v>
      </c>
      <c r="B77" s="6" t="s">
        <v>9</v>
      </c>
      <c r="C77" s="8">
        <v>13</v>
      </c>
      <c r="D77">
        <v>3</v>
      </c>
      <c r="F77" t="s">
        <v>143</v>
      </c>
      <c r="G77">
        <v>5</v>
      </c>
      <c r="H77" s="17">
        <v>0</v>
      </c>
    </row>
    <row r="78" spans="1:8">
      <c r="A78" s="31" t="s">
        <v>42</v>
      </c>
      <c r="B78" s="6" t="s">
        <v>8</v>
      </c>
      <c r="C78" s="8">
        <v>3</v>
      </c>
      <c r="D78">
        <v>1</v>
      </c>
      <c r="F78" t="s">
        <v>149</v>
      </c>
      <c r="G78">
        <v>2</v>
      </c>
      <c r="H78" s="17">
        <v>0</v>
      </c>
    </row>
    <row r="79" spans="1:8">
      <c r="A79" s="31" t="s">
        <v>42</v>
      </c>
      <c r="B79" s="6" t="s">
        <v>9</v>
      </c>
      <c r="C79" s="8">
        <v>3</v>
      </c>
      <c r="D79">
        <v>2</v>
      </c>
      <c r="F79" t="s">
        <v>151</v>
      </c>
      <c r="G79">
        <v>1</v>
      </c>
      <c r="H79" s="17">
        <v>0</v>
      </c>
    </row>
    <row r="80" spans="1:8">
      <c r="A80" s="31" t="s">
        <v>43</v>
      </c>
      <c r="B80" s="6" t="s">
        <v>19</v>
      </c>
      <c r="C80" s="8">
        <v>0</v>
      </c>
      <c r="D80">
        <v>1</v>
      </c>
      <c r="F80" t="s">
        <v>153</v>
      </c>
      <c r="G80">
        <v>1</v>
      </c>
      <c r="H80" s="17">
        <v>0</v>
      </c>
    </row>
    <row r="81" spans="1:8">
      <c r="A81" s="31" t="s">
        <v>44</v>
      </c>
      <c r="B81" s="6" t="s">
        <v>45</v>
      </c>
      <c r="C81" s="8">
        <v>0</v>
      </c>
      <c r="D81">
        <v>1</v>
      </c>
      <c r="F81" t="s">
        <v>155</v>
      </c>
      <c r="G81">
        <v>1</v>
      </c>
      <c r="H81" s="17">
        <v>0</v>
      </c>
    </row>
    <row r="82" spans="1:8">
      <c r="A82" s="31" t="s">
        <v>44</v>
      </c>
      <c r="B82" s="6" t="s">
        <v>46</v>
      </c>
      <c r="C82" s="8">
        <v>0</v>
      </c>
      <c r="D82">
        <v>2</v>
      </c>
      <c r="F82" t="s">
        <v>157</v>
      </c>
      <c r="G82">
        <v>5</v>
      </c>
      <c r="H82" s="17">
        <v>154</v>
      </c>
    </row>
    <row r="83" spans="1:8">
      <c r="A83" s="31" t="s">
        <v>47</v>
      </c>
      <c r="B83" s="6" t="s">
        <v>48</v>
      </c>
      <c r="C83" s="8">
        <v>9</v>
      </c>
      <c r="D83">
        <v>1</v>
      </c>
      <c r="F83" t="s">
        <v>163</v>
      </c>
      <c r="G83">
        <v>2</v>
      </c>
      <c r="H83" s="17">
        <v>0</v>
      </c>
    </row>
    <row r="84" spans="1:8">
      <c r="A84" s="31" t="s">
        <v>49</v>
      </c>
      <c r="B84" s="6" t="s">
        <v>50</v>
      </c>
      <c r="C84" s="8">
        <v>0</v>
      </c>
      <c r="D84">
        <v>1</v>
      </c>
      <c r="F84" t="s">
        <v>166</v>
      </c>
      <c r="G84">
        <v>2</v>
      </c>
      <c r="H84" s="17">
        <v>0</v>
      </c>
    </row>
    <row r="85" spans="1:8">
      <c r="A85" s="31" t="s">
        <v>51</v>
      </c>
      <c r="B85" s="6" t="s">
        <v>52</v>
      </c>
      <c r="C85" s="8">
        <v>3</v>
      </c>
      <c r="D85">
        <v>1</v>
      </c>
      <c r="F85" t="s">
        <v>169</v>
      </c>
      <c r="G85">
        <v>2</v>
      </c>
      <c r="H85" s="17">
        <v>0</v>
      </c>
    </row>
    <row r="86" spans="1:8">
      <c r="A86" s="31" t="s">
        <v>53</v>
      </c>
      <c r="B86" s="6" t="s">
        <v>54</v>
      </c>
      <c r="C86" s="8">
        <v>0</v>
      </c>
      <c r="D86">
        <v>1</v>
      </c>
      <c r="F86" t="s">
        <v>172</v>
      </c>
      <c r="G86">
        <v>1</v>
      </c>
      <c r="H86" s="17">
        <v>0</v>
      </c>
    </row>
    <row r="87" spans="1:8">
      <c r="A87" s="31" t="s">
        <v>53</v>
      </c>
      <c r="B87" s="6" t="s">
        <v>55</v>
      </c>
      <c r="C87" s="8">
        <v>3</v>
      </c>
      <c r="D87">
        <v>2</v>
      </c>
      <c r="F87" t="s">
        <v>174</v>
      </c>
      <c r="G87">
        <v>2</v>
      </c>
      <c r="H87" s="17">
        <v>9</v>
      </c>
    </row>
    <row r="88" spans="1:8">
      <c r="A88" s="31" t="s">
        <v>53</v>
      </c>
      <c r="B88" s="6" t="s">
        <v>56</v>
      </c>
      <c r="C88" s="8">
        <v>0</v>
      </c>
      <c r="D88">
        <v>3</v>
      </c>
      <c r="F88" t="s">
        <v>177</v>
      </c>
      <c r="G88">
        <v>1</v>
      </c>
      <c r="H88" s="17">
        <v>0</v>
      </c>
    </row>
    <row r="89" spans="1:8">
      <c r="A89" s="31" t="s">
        <v>57</v>
      </c>
      <c r="B89" s="6" t="s">
        <v>58</v>
      </c>
      <c r="C89" s="8">
        <v>2</v>
      </c>
      <c r="D89">
        <v>1</v>
      </c>
      <c r="F89" t="s">
        <v>179</v>
      </c>
      <c r="G89">
        <v>1</v>
      </c>
      <c r="H89" s="17">
        <v>0</v>
      </c>
    </row>
    <row r="90" spans="1:8">
      <c r="A90" s="31" t="s">
        <v>59</v>
      </c>
      <c r="B90" s="6" t="s">
        <v>58</v>
      </c>
      <c r="C90" s="8">
        <v>3</v>
      </c>
      <c r="D90">
        <v>1</v>
      </c>
      <c r="F90" t="s">
        <v>180</v>
      </c>
      <c r="G90">
        <v>1</v>
      </c>
      <c r="H90" s="17">
        <v>0</v>
      </c>
    </row>
    <row r="91" spans="1:8">
      <c r="A91" s="31" t="s">
        <v>60</v>
      </c>
      <c r="B91" s="6" t="s">
        <v>58</v>
      </c>
      <c r="C91" s="8">
        <v>3</v>
      </c>
      <c r="D91">
        <v>1</v>
      </c>
      <c r="F91" t="s">
        <v>181</v>
      </c>
      <c r="G91">
        <v>1</v>
      </c>
      <c r="H91" s="17">
        <v>0</v>
      </c>
    </row>
    <row r="92" spans="1:8">
      <c r="A92" s="31" t="s">
        <v>61</v>
      </c>
      <c r="B92" s="6" t="s">
        <v>62</v>
      </c>
      <c r="C92" s="8">
        <v>92</v>
      </c>
      <c r="D92">
        <v>1</v>
      </c>
      <c r="F92" t="s">
        <v>182</v>
      </c>
      <c r="G92">
        <v>1</v>
      </c>
      <c r="H92" s="17">
        <v>0</v>
      </c>
    </row>
    <row r="93" spans="1:8">
      <c r="A93" s="31" t="s">
        <v>63</v>
      </c>
      <c r="B93" s="6" t="s">
        <v>64</v>
      </c>
      <c r="C93" s="8">
        <v>12</v>
      </c>
      <c r="D93">
        <v>1</v>
      </c>
      <c r="F93" t="s">
        <v>183</v>
      </c>
      <c r="G93">
        <v>1</v>
      </c>
      <c r="H93" s="17">
        <v>0</v>
      </c>
    </row>
    <row r="94" spans="1:8">
      <c r="A94" s="31" t="s">
        <v>65</v>
      </c>
      <c r="B94" s="6" t="s">
        <v>66</v>
      </c>
      <c r="C94" s="8">
        <v>0</v>
      </c>
      <c r="D94">
        <v>1</v>
      </c>
      <c r="F94" t="s">
        <v>184</v>
      </c>
      <c r="G94">
        <v>1</v>
      </c>
      <c r="H94" s="17">
        <v>0</v>
      </c>
    </row>
    <row r="95" spans="1:8">
      <c r="A95" s="31" t="s">
        <v>67</v>
      </c>
      <c r="B95" s="6" t="s">
        <v>66</v>
      </c>
      <c r="C95" s="8">
        <v>2</v>
      </c>
      <c r="D95">
        <v>1</v>
      </c>
      <c r="F95" t="s">
        <v>185</v>
      </c>
      <c r="G95">
        <v>1</v>
      </c>
      <c r="H95" s="17">
        <v>0</v>
      </c>
    </row>
    <row r="96" spans="1:8">
      <c r="A96" s="31" t="s">
        <v>68</v>
      </c>
      <c r="B96" s="6" t="s">
        <v>66</v>
      </c>
      <c r="C96" s="8">
        <v>3</v>
      </c>
      <c r="D96">
        <v>1</v>
      </c>
      <c r="F96" t="s">
        <v>187</v>
      </c>
      <c r="G96">
        <v>2</v>
      </c>
      <c r="H96" s="17">
        <v>0</v>
      </c>
    </row>
    <row r="97" spans="1:8">
      <c r="A97" s="31" t="s">
        <v>69</v>
      </c>
      <c r="B97" s="6" t="s">
        <v>70</v>
      </c>
      <c r="C97" s="8">
        <v>0</v>
      </c>
      <c r="D97">
        <v>1</v>
      </c>
      <c r="F97" t="s">
        <v>190</v>
      </c>
      <c r="G97">
        <v>6</v>
      </c>
      <c r="H97" s="17">
        <v>24</v>
      </c>
    </row>
    <row r="98" spans="1:8">
      <c r="A98" s="31" t="s">
        <v>71</v>
      </c>
      <c r="B98" s="6" t="s">
        <v>72</v>
      </c>
      <c r="C98" s="8">
        <v>20</v>
      </c>
      <c r="D98">
        <v>1</v>
      </c>
      <c r="F98" t="s">
        <v>197</v>
      </c>
      <c r="G98">
        <v>1</v>
      </c>
      <c r="H98" s="17">
        <v>0</v>
      </c>
    </row>
    <row r="99" spans="1:8">
      <c r="A99" s="31" t="s">
        <v>73</v>
      </c>
      <c r="B99" s="6" t="s">
        <v>74</v>
      </c>
      <c r="C99" s="8">
        <v>8</v>
      </c>
      <c r="D99">
        <v>1</v>
      </c>
      <c r="F99" t="s">
        <v>199</v>
      </c>
      <c r="G99">
        <v>5</v>
      </c>
      <c r="H99" s="17">
        <v>8</v>
      </c>
    </row>
    <row r="100" spans="1:8">
      <c r="A100" s="31" t="s">
        <v>73</v>
      </c>
      <c r="B100" s="6" t="s">
        <v>70</v>
      </c>
      <c r="C100" s="8">
        <v>0</v>
      </c>
      <c r="D100">
        <v>2</v>
      </c>
      <c r="F100" t="s">
        <v>205</v>
      </c>
      <c r="G100">
        <v>3</v>
      </c>
      <c r="H100" s="17">
        <v>1</v>
      </c>
    </row>
    <row r="101" spans="1:8">
      <c r="A101" s="31" t="s">
        <v>75</v>
      </c>
      <c r="B101" s="6" t="s">
        <v>76</v>
      </c>
      <c r="C101" s="8">
        <v>2</v>
      </c>
      <c r="D101">
        <v>1</v>
      </c>
      <c r="F101" t="s">
        <v>209</v>
      </c>
      <c r="G101">
        <v>3</v>
      </c>
      <c r="H101" s="17">
        <v>0</v>
      </c>
    </row>
    <row r="102" spans="1:8">
      <c r="A102" s="31" t="s">
        <v>77</v>
      </c>
      <c r="B102" s="6" t="s">
        <v>76</v>
      </c>
      <c r="C102" s="8">
        <v>0</v>
      </c>
      <c r="D102">
        <v>1</v>
      </c>
      <c r="F102" t="s">
        <v>211</v>
      </c>
      <c r="G102">
        <v>3</v>
      </c>
      <c r="H102" s="17">
        <v>0</v>
      </c>
    </row>
    <row r="103" spans="1:8">
      <c r="A103" s="31" t="s">
        <v>78</v>
      </c>
      <c r="B103" s="6" t="s">
        <v>79</v>
      </c>
      <c r="C103" s="8">
        <v>0</v>
      </c>
      <c r="D103">
        <v>1</v>
      </c>
      <c r="F103" t="s">
        <v>212</v>
      </c>
      <c r="G103">
        <v>1</v>
      </c>
      <c r="H103" s="17">
        <v>0</v>
      </c>
    </row>
    <row r="104" spans="1:8">
      <c r="A104" s="31" t="s">
        <v>78</v>
      </c>
      <c r="B104" s="6" t="s">
        <v>80</v>
      </c>
      <c r="C104" s="8">
        <v>0</v>
      </c>
      <c r="D104">
        <v>2</v>
      </c>
      <c r="F104" t="s">
        <v>214</v>
      </c>
      <c r="G104">
        <v>1</v>
      </c>
      <c r="H104" s="17">
        <v>0</v>
      </c>
    </row>
    <row r="105" spans="1:8">
      <c r="A105" s="31" t="s">
        <v>81</v>
      </c>
      <c r="B105" s="6" t="s">
        <v>82</v>
      </c>
      <c r="C105" s="8">
        <v>0</v>
      </c>
      <c r="D105">
        <v>1</v>
      </c>
      <c r="F105" t="s">
        <v>216</v>
      </c>
      <c r="G105">
        <v>1</v>
      </c>
      <c r="H105" s="17">
        <v>0</v>
      </c>
    </row>
    <row r="106" spans="1:8">
      <c r="A106" s="31" t="s">
        <v>81</v>
      </c>
      <c r="B106" s="6" t="s">
        <v>83</v>
      </c>
      <c r="C106" s="8">
        <v>0</v>
      </c>
      <c r="D106">
        <v>2</v>
      </c>
      <c r="F106" t="s">
        <v>217</v>
      </c>
      <c r="G106">
        <v>1</v>
      </c>
      <c r="H106" s="17">
        <v>0</v>
      </c>
    </row>
    <row r="107" spans="1:8">
      <c r="A107" s="31" t="s">
        <v>81</v>
      </c>
      <c r="B107" s="6" t="s">
        <v>84</v>
      </c>
      <c r="C107" s="8">
        <v>0</v>
      </c>
      <c r="D107">
        <v>3</v>
      </c>
      <c r="F107" t="s">
        <v>218</v>
      </c>
      <c r="G107">
        <v>1</v>
      </c>
      <c r="H107" s="17">
        <v>0</v>
      </c>
    </row>
    <row r="108" spans="1:8">
      <c r="A108" s="31" t="s">
        <v>85</v>
      </c>
      <c r="B108" s="6" t="s">
        <v>86</v>
      </c>
      <c r="C108" s="8">
        <v>0</v>
      </c>
      <c r="D108">
        <v>1</v>
      </c>
      <c r="F108" t="s">
        <v>219</v>
      </c>
      <c r="G108">
        <v>1</v>
      </c>
      <c r="H108" s="17">
        <v>0</v>
      </c>
    </row>
    <row r="109" spans="1:8">
      <c r="A109" s="31" t="s">
        <v>87</v>
      </c>
      <c r="B109" s="6" t="s">
        <v>88</v>
      </c>
      <c r="C109" s="8">
        <v>0</v>
      </c>
      <c r="D109">
        <v>1</v>
      </c>
      <c r="F109" t="s">
        <v>220</v>
      </c>
      <c r="G109">
        <v>1</v>
      </c>
      <c r="H109" s="17">
        <v>0</v>
      </c>
    </row>
    <row r="110" spans="1:8">
      <c r="A110" s="31" t="s">
        <v>89</v>
      </c>
      <c r="B110" s="6" t="s">
        <v>90</v>
      </c>
      <c r="C110" s="8">
        <v>0</v>
      </c>
      <c r="D110">
        <v>1</v>
      </c>
      <c r="F110" t="s">
        <v>221</v>
      </c>
      <c r="G110">
        <v>2</v>
      </c>
      <c r="H110" s="17">
        <v>0</v>
      </c>
    </row>
    <row r="111" spans="1:8">
      <c r="A111" s="31" t="s">
        <v>89</v>
      </c>
      <c r="B111" s="6" t="s">
        <v>91</v>
      </c>
      <c r="C111" s="8">
        <v>0</v>
      </c>
      <c r="D111">
        <v>2</v>
      </c>
      <c r="F111" t="s">
        <v>224</v>
      </c>
      <c r="G111">
        <v>1</v>
      </c>
      <c r="H111" s="17">
        <v>0</v>
      </c>
    </row>
    <row r="112" spans="1:8">
      <c r="A112" s="31" t="s">
        <v>89</v>
      </c>
      <c r="B112" s="6" t="s">
        <v>92</v>
      </c>
      <c r="C112" s="8">
        <v>0</v>
      </c>
      <c r="D112">
        <v>3</v>
      </c>
      <c r="F112" t="s">
        <v>226</v>
      </c>
      <c r="G112">
        <v>1</v>
      </c>
      <c r="H112" s="17">
        <v>0</v>
      </c>
    </row>
    <row r="113" spans="1:8">
      <c r="A113" s="31" t="s">
        <v>93</v>
      </c>
      <c r="B113" s="6" t="s">
        <v>94</v>
      </c>
      <c r="C113" s="8">
        <v>24</v>
      </c>
      <c r="D113">
        <v>1</v>
      </c>
      <c r="F113" t="s">
        <v>228</v>
      </c>
      <c r="G113">
        <v>1</v>
      </c>
      <c r="H113" s="17">
        <v>15</v>
      </c>
    </row>
    <row r="114" spans="1:8">
      <c r="A114" s="31" t="s">
        <v>95</v>
      </c>
      <c r="B114" s="6" t="s">
        <v>96</v>
      </c>
      <c r="C114" s="8">
        <v>42</v>
      </c>
      <c r="D114">
        <v>1</v>
      </c>
      <c r="F114" t="s">
        <v>230</v>
      </c>
      <c r="G114">
        <v>1</v>
      </c>
      <c r="H114" s="17">
        <v>6</v>
      </c>
    </row>
    <row r="115" spans="1:8">
      <c r="A115" s="31" t="s">
        <v>95</v>
      </c>
      <c r="B115" s="6" t="s">
        <v>97</v>
      </c>
      <c r="C115" s="8">
        <v>0</v>
      </c>
      <c r="D115">
        <v>2</v>
      </c>
      <c r="F115" t="s">
        <v>231</v>
      </c>
      <c r="G115">
        <v>2</v>
      </c>
      <c r="H115" s="17">
        <v>0</v>
      </c>
    </row>
    <row r="116" spans="1:8">
      <c r="A116" s="31" t="s">
        <v>95</v>
      </c>
      <c r="B116" s="6" t="s">
        <v>98</v>
      </c>
      <c r="C116" s="8">
        <v>38</v>
      </c>
      <c r="D116">
        <v>3</v>
      </c>
      <c r="F116" t="s">
        <v>234</v>
      </c>
      <c r="G116">
        <v>1</v>
      </c>
      <c r="H116" s="17">
        <v>0</v>
      </c>
    </row>
    <row r="117" spans="1:8">
      <c r="A117" s="31" t="s">
        <v>95</v>
      </c>
      <c r="B117" s="6" t="s">
        <v>99</v>
      </c>
      <c r="C117" s="8">
        <v>0</v>
      </c>
      <c r="D117">
        <v>4</v>
      </c>
      <c r="F117" t="s">
        <v>235</v>
      </c>
      <c r="G117">
        <v>2</v>
      </c>
      <c r="H117" s="17">
        <v>0</v>
      </c>
    </row>
    <row r="118" spans="1:8">
      <c r="A118" s="31" t="s">
        <v>100</v>
      </c>
      <c r="B118" s="6" t="s">
        <v>101</v>
      </c>
      <c r="C118" s="8">
        <v>10</v>
      </c>
      <c r="D118">
        <v>1</v>
      </c>
      <c r="F118" t="s">
        <v>236</v>
      </c>
      <c r="G118">
        <v>1</v>
      </c>
      <c r="H118" s="17">
        <v>0</v>
      </c>
    </row>
    <row r="119" spans="1:8">
      <c r="A119" s="31" t="s">
        <v>100</v>
      </c>
      <c r="B119" s="6" t="s">
        <v>102</v>
      </c>
      <c r="C119" s="8">
        <v>14</v>
      </c>
      <c r="D119">
        <v>2</v>
      </c>
      <c r="F119" t="s">
        <v>237</v>
      </c>
      <c r="G119">
        <v>2</v>
      </c>
      <c r="H119" s="17">
        <v>0</v>
      </c>
    </row>
    <row r="120" spans="1:8">
      <c r="A120" s="31" t="s">
        <v>100</v>
      </c>
      <c r="B120" s="6" t="s">
        <v>103</v>
      </c>
      <c r="C120" s="8">
        <v>17</v>
      </c>
      <c r="D120">
        <v>3</v>
      </c>
      <c r="F120" t="s">
        <v>238</v>
      </c>
      <c r="G120">
        <v>3</v>
      </c>
      <c r="H120" s="17">
        <v>0</v>
      </c>
    </row>
    <row r="121" spans="1:8">
      <c r="A121" s="31" t="s">
        <v>104</v>
      </c>
      <c r="B121" s="6" t="s">
        <v>105</v>
      </c>
      <c r="C121" s="8">
        <v>0</v>
      </c>
      <c r="D121">
        <v>1</v>
      </c>
      <c r="F121" t="s">
        <v>240</v>
      </c>
      <c r="G121">
        <v>4</v>
      </c>
      <c r="H121" s="17">
        <v>0</v>
      </c>
    </row>
    <row r="122" spans="1:8">
      <c r="A122" s="31" t="s">
        <v>106</v>
      </c>
      <c r="B122" s="6" t="s">
        <v>107</v>
      </c>
      <c r="C122" s="8">
        <v>0</v>
      </c>
      <c r="D122">
        <v>1</v>
      </c>
      <c r="F122" t="s">
        <v>245</v>
      </c>
      <c r="G122">
        <v>1</v>
      </c>
      <c r="H122" s="17">
        <v>0</v>
      </c>
    </row>
    <row r="123" spans="1:8">
      <c r="A123" s="31" t="s">
        <v>106</v>
      </c>
      <c r="B123" s="6" t="s">
        <v>108</v>
      </c>
      <c r="C123" s="8">
        <v>0</v>
      </c>
      <c r="D123">
        <v>2</v>
      </c>
      <c r="F123" t="s">
        <v>247</v>
      </c>
      <c r="G123">
        <v>1</v>
      </c>
      <c r="H123" s="17">
        <v>0</v>
      </c>
    </row>
    <row r="124" spans="1:8">
      <c r="A124" s="31" t="s">
        <v>109</v>
      </c>
      <c r="B124" s="6" t="s">
        <v>110</v>
      </c>
      <c r="C124" s="8">
        <v>4</v>
      </c>
      <c r="D124">
        <v>1</v>
      </c>
      <c r="F124" t="s">
        <v>249</v>
      </c>
      <c r="G124">
        <v>2</v>
      </c>
      <c r="H124" s="17">
        <v>1</v>
      </c>
    </row>
    <row r="125" spans="1:8">
      <c r="A125" s="31" t="s">
        <v>109</v>
      </c>
      <c r="B125" s="6" t="s">
        <v>111</v>
      </c>
      <c r="C125" s="8">
        <v>0</v>
      </c>
      <c r="D125">
        <v>2</v>
      </c>
      <c r="F125" t="s">
        <v>252</v>
      </c>
      <c r="G125">
        <v>2</v>
      </c>
      <c r="H125" s="17">
        <v>1</v>
      </c>
    </row>
    <row r="126" spans="1:8">
      <c r="A126" s="31" t="s">
        <v>109</v>
      </c>
      <c r="B126" s="6" t="s">
        <v>112</v>
      </c>
      <c r="C126" s="8">
        <v>0</v>
      </c>
      <c r="D126">
        <v>3</v>
      </c>
      <c r="F126" t="s">
        <v>254</v>
      </c>
      <c r="G126">
        <v>1</v>
      </c>
      <c r="H126" s="17">
        <v>0</v>
      </c>
    </row>
    <row r="127" spans="1:8">
      <c r="A127" s="31" t="s">
        <v>109</v>
      </c>
      <c r="B127" s="6" t="s">
        <v>113</v>
      </c>
      <c r="C127" s="8">
        <v>0</v>
      </c>
      <c r="D127">
        <v>4</v>
      </c>
      <c r="F127" t="s">
        <v>256</v>
      </c>
      <c r="G127">
        <v>1</v>
      </c>
      <c r="H127" s="17">
        <v>0</v>
      </c>
    </row>
    <row r="128" spans="1:8">
      <c r="A128" s="31" t="s">
        <v>109</v>
      </c>
      <c r="B128" s="6" t="s">
        <v>114</v>
      </c>
      <c r="C128" s="8">
        <v>0</v>
      </c>
      <c r="D128">
        <v>5</v>
      </c>
      <c r="F128" t="s">
        <v>258</v>
      </c>
      <c r="G128">
        <v>1</v>
      </c>
      <c r="H128" s="17">
        <v>15</v>
      </c>
    </row>
    <row r="129" spans="1:8">
      <c r="A129" s="31" t="s">
        <v>115</v>
      </c>
      <c r="B129" s="6" t="s">
        <v>116</v>
      </c>
      <c r="C129" s="8">
        <v>0</v>
      </c>
      <c r="D129">
        <v>1</v>
      </c>
      <c r="F129" t="s">
        <v>259</v>
      </c>
      <c r="G129">
        <v>1</v>
      </c>
      <c r="H129" s="17">
        <v>6</v>
      </c>
    </row>
    <row r="130" spans="1:8">
      <c r="A130" s="31" t="s">
        <v>115</v>
      </c>
      <c r="B130" s="6" t="s">
        <v>112</v>
      </c>
      <c r="C130" s="8">
        <v>0</v>
      </c>
      <c r="D130">
        <v>2</v>
      </c>
      <c r="F130" t="s">
        <v>260</v>
      </c>
      <c r="G130">
        <v>2</v>
      </c>
      <c r="H130" s="17">
        <v>0</v>
      </c>
    </row>
    <row r="131" spans="1:8">
      <c r="A131" s="31" t="s">
        <v>115</v>
      </c>
      <c r="B131" s="6" t="s">
        <v>105</v>
      </c>
      <c r="C131" s="8">
        <v>0</v>
      </c>
      <c r="D131">
        <v>3</v>
      </c>
      <c r="F131" t="s">
        <v>263</v>
      </c>
      <c r="G131">
        <v>15</v>
      </c>
      <c r="H131" s="17">
        <v>5</v>
      </c>
    </row>
    <row r="132" spans="1:8">
      <c r="A132" s="31" t="s">
        <v>115</v>
      </c>
      <c r="B132" s="6" t="s">
        <v>117</v>
      </c>
      <c r="C132" s="8">
        <v>0</v>
      </c>
      <c r="D132">
        <v>4</v>
      </c>
      <c r="F132" t="s">
        <v>274</v>
      </c>
      <c r="G132">
        <v>8</v>
      </c>
      <c r="H132" s="17">
        <v>0</v>
      </c>
    </row>
    <row r="133" spans="1:8">
      <c r="A133" s="31" t="s">
        <v>115</v>
      </c>
      <c r="B133" s="6" t="s">
        <v>118</v>
      </c>
      <c r="C133" s="8">
        <v>0</v>
      </c>
      <c r="D133">
        <v>5</v>
      </c>
      <c r="F133" t="s">
        <v>275</v>
      </c>
      <c r="G133">
        <v>11</v>
      </c>
      <c r="H133" s="17">
        <v>5</v>
      </c>
    </row>
    <row r="134" spans="1:8">
      <c r="A134" s="31" t="s">
        <v>119</v>
      </c>
      <c r="B134" s="6" t="s">
        <v>120</v>
      </c>
      <c r="C134" s="8">
        <v>1</v>
      </c>
      <c r="D134">
        <v>1</v>
      </c>
      <c r="F134" t="s">
        <v>276</v>
      </c>
      <c r="G134">
        <v>7</v>
      </c>
      <c r="H134" s="17">
        <v>0</v>
      </c>
    </row>
    <row r="135" spans="1:8">
      <c r="A135" s="31" t="s">
        <v>121</v>
      </c>
      <c r="B135" s="6" t="s">
        <v>122</v>
      </c>
      <c r="C135" s="8">
        <v>1</v>
      </c>
      <c r="D135">
        <v>1</v>
      </c>
      <c r="F135" t="s">
        <v>277</v>
      </c>
      <c r="G135">
        <v>3</v>
      </c>
      <c r="H135" s="17">
        <v>13</v>
      </c>
    </row>
    <row r="136" spans="1:8">
      <c r="A136" s="31" t="s">
        <v>123</v>
      </c>
      <c r="B136" s="6" t="s">
        <v>124</v>
      </c>
      <c r="C136" s="8">
        <v>0</v>
      </c>
      <c r="D136">
        <v>1</v>
      </c>
      <c r="F136" t="s">
        <v>278</v>
      </c>
      <c r="G136">
        <v>21</v>
      </c>
      <c r="H136" s="17">
        <v>0</v>
      </c>
    </row>
    <row r="137" spans="1:8">
      <c r="A137" s="31" t="s">
        <v>123</v>
      </c>
      <c r="B137" s="6" t="s">
        <v>112</v>
      </c>
      <c r="C137" s="8">
        <v>0</v>
      </c>
      <c r="D137">
        <v>2</v>
      </c>
      <c r="F137" t="s">
        <v>285</v>
      </c>
      <c r="G137">
        <v>6</v>
      </c>
      <c r="H137" s="17">
        <v>0</v>
      </c>
    </row>
    <row r="138" spans="1:8">
      <c r="A138" s="31" t="s">
        <v>123</v>
      </c>
      <c r="B138" s="6" t="s">
        <v>125</v>
      </c>
      <c r="C138" s="8">
        <v>0</v>
      </c>
      <c r="D138">
        <v>3</v>
      </c>
      <c r="F138" t="s">
        <v>286</v>
      </c>
      <c r="G138">
        <v>11</v>
      </c>
      <c r="H138" s="17">
        <v>5</v>
      </c>
    </row>
    <row r="139" spans="1:8">
      <c r="A139" s="31" t="s">
        <v>126</v>
      </c>
      <c r="B139" s="6" t="s">
        <v>127</v>
      </c>
      <c r="C139" s="8">
        <v>0</v>
      </c>
      <c r="D139">
        <v>1</v>
      </c>
      <c r="F139" t="s">
        <v>287</v>
      </c>
      <c r="G139">
        <v>17</v>
      </c>
      <c r="H139" s="17">
        <v>0</v>
      </c>
    </row>
    <row r="140" spans="1:8">
      <c r="A140" s="31" t="s">
        <v>128</v>
      </c>
      <c r="B140" s="6" t="s">
        <v>107</v>
      </c>
      <c r="C140" s="8">
        <v>0</v>
      </c>
      <c r="D140">
        <v>1</v>
      </c>
      <c r="F140" t="s">
        <v>288</v>
      </c>
      <c r="G140">
        <v>17</v>
      </c>
      <c r="H140" s="17">
        <v>17</v>
      </c>
    </row>
    <row r="141" spans="1:8">
      <c r="A141" s="31" t="s">
        <v>128</v>
      </c>
      <c r="B141" s="6" t="s">
        <v>108</v>
      </c>
      <c r="C141" s="8">
        <v>0</v>
      </c>
      <c r="D141">
        <v>2</v>
      </c>
      <c r="F141" t="s">
        <v>290</v>
      </c>
      <c r="G141">
        <v>11</v>
      </c>
      <c r="H141" s="17">
        <v>0</v>
      </c>
    </row>
    <row r="142" spans="1:8">
      <c r="A142" s="31" t="s">
        <v>128</v>
      </c>
      <c r="B142" s="6" t="s">
        <v>129</v>
      </c>
      <c r="C142" s="8">
        <v>4</v>
      </c>
      <c r="D142">
        <v>3</v>
      </c>
      <c r="F142" t="s">
        <v>291</v>
      </c>
      <c r="G142">
        <v>8</v>
      </c>
      <c r="H142" s="17">
        <v>0</v>
      </c>
    </row>
    <row r="143" spans="1:8">
      <c r="A143" s="31" t="s">
        <v>130</v>
      </c>
      <c r="B143" s="6" t="s">
        <v>131</v>
      </c>
      <c r="C143" s="8">
        <v>0</v>
      </c>
      <c r="D143">
        <v>1</v>
      </c>
      <c r="F143" t="s">
        <v>292</v>
      </c>
      <c r="G143">
        <v>8</v>
      </c>
      <c r="H143" s="17">
        <v>0</v>
      </c>
    </row>
    <row r="144" spans="1:8">
      <c r="A144" s="31" t="s">
        <v>130</v>
      </c>
      <c r="B144" s="6" t="s">
        <v>132</v>
      </c>
      <c r="C144" s="8">
        <v>0</v>
      </c>
      <c r="D144">
        <v>2</v>
      </c>
      <c r="F144" t="s">
        <v>293</v>
      </c>
      <c r="G144">
        <v>2</v>
      </c>
      <c r="H144" s="17">
        <v>0</v>
      </c>
    </row>
    <row r="145" spans="1:8">
      <c r="A145" s="31" t="s">
        <v>130</v>
      </c>
      <c r="B145" s="6" t="s">
        <v>133</v>
      </c>
      <c r="C145" s="8">
        <v>0</v>
      </c>
      <c r="D145">
        <v>3</v>
      </c>
      <c r="F145" t="s">
        <v>294</v>
      </c>
      <c r="G145">
        <v>4</v>
      </c>
      <c r="H145" s="17">
        <v>0</v>
      </c>
    </row>
    <row r="146" spans="1:8">
      <c r="A146" s="31" t="s">
        <v>134</v>
      </c>
      <c r="B146" s="6" t="s">
        <v>135</v>
      </c>
      <c r="C146" s="8">
        <v>0</v>
      </c>
      <c r="D146">
        <v>1</v>
      </c>
      <c r="F146" t="s">
        <v>295</v>
      </c>
      <c r="G146">
        <v>1</v>
      </c>
      <c r="H146" s="17">
        <v>0</v>
      </c>
    </row>
    <row r="147" spans="1:8">
      <c r="A147" s="31" t="s">
        <v>134</v>
      </c>
      <c r="B147" s="6" t="s">
        <v>136</v>
      </c>
      <c r="C147" s="8">
        <v>0</v>
      </c>
      <c r="D147">
        <v>2</v>
      </c>
      <c r="F147" t="s">
        <v>297</v>
      </c>
      <c r="G147">
        <v>20</v>
      </c>
      <c r="H147" s="17">
        <v>11</v>
      </c>
    </row>
    <row r="148" spans="1:8">
      <c r="A148" s="31" t="s">
        <v>134</v>
      </c>
      <c r="B148" s="6" t="s">
        <v>137</v>
      </c>
      <c r="C148" s="8">
        <v>0</v>
      </c>
      <c r="D148">
        <v>3</v>
      </c>
      <c r="F148" t="s">
        <v>298</v>
      </c>
      <c r="G148">
        <v>4</v>
      </c>
      <c r="H148" s="17">
        <v>0</v>
      </c>
    </row>
    <row r="149" spans="1:8">
      <c r="A149" s="31" t="s">
        <v>138</v>
      </c>
      <c r="B149" s="6" t="s">
        <v>139</v>
      </c>
      <c r="C149" s="8">
        <v>0</v>
      </c>
      <c r="D149">
        <v>1</v>
      </c>
      <c r="F149" t="s">
        <v>299</v>
      </c>
      <c r="G149">
        <v>8</v>
      </c>
      <c r="H149" s="17">
        <v>4</v>
      </c>
    </row>
    <row r="150" spans="1:8">
      <c r="A150" s="31" t="s">
        <v>138</v>
      </c>
      <c r="B150" s="6" t="s">
        <v>140</v>
      </c>
      <c r="C150" s="8">
        <v>0</v>
      </c>
      <c r="D150">
        <v>2</v>
      </c>
      <c r="F150" t="s">
        <v>300</v>
      </c>
      <c r="G150">
        <v>8</v>
      </c>
      <c r="H150" s="17">
        <v>0</v>
      </c>
    </row>
    <row r="151" spans="1:8">
      <c r="A151" s="31" t="s">
        <v>141</v>
      </c>
      <c r="B151" s="6" t="s">
        <v>107</v>
      </c>
      <c r="C151" s="8">
        <v>0</v>
      </c>
      <c r="D151">
        <v>1</v>
      </c>
      <c r="F151" t="s">
        <v>301</v>
      </c>
      <c r="G151">
        <v>19</v>
      </c>
      <c r="H151" s="17">
        <v>0</v>
      </c>
    </row>
    <row r="152" spans="1:8">
      <c r="A152" s="31" t="s">
        <v>141</v>
      </c>
      <c r="B152" s="6" t="s">
        <v>108</v>
      </c>
      <c r="C152" s="8">
        <v>0</v>
      </c>
      <c r="D152">
        <v>2</v>
      </c>
      <c r="F152" t="s">
        <v>302</v>
      </c>
      <c r="G152">
        <v>18</v>
      </c>
      <c r="H152" s="17">
        <v>126</v>
      </c>
    </row>
    <row r="153" spans="1:8">
      <c r="A153" s="31" t="s">
        <v>141</v>
      </c>
      <c r="B153" s="6" t="s">
        <v>129</v>
      </c>
      <c r="C153" s="8">
        <v>4</v>
      </c>
      <c r="D153">
        <v>3</v>
      </c>
      <c r="F153" t="s">
        <v>304</v>
      </c>
      <c r="G153">
        <v>15</v>
      </c>
      <c r="H153" s="17">
        <v>0</v>
      </c>
    </row>
    <row r="154" spans="1:8">
      <c r="A154" s="31" t="s">
        <v>142</v>
      </c>
      <c r="B154" s="6" t="s">
        <v>135</v>
      </c>
      <c r="C154" s="8">
        <v>0</v>
      </c>
      <c r="D154">
        <v>1</v>
      </c>
      <c r="F154" t="s">
        <v>305</v>
      </c>
      <c r="G154">
        <v>3</v>
      </c>
      <c r="H154" s="17">
        <v>0</v>
      </c>
    </row>
    <row r="155" spans="1:8">
      <c r="A155" s="31" t="s">
        <v>143</v>
      </c>
      <c r="B155" s="6" t="s">
        <v>144</v>
      </c>
      <c r="C155" s="8">
        <v>0</v>
      </c>
      <c r="D155">
        <v>1</v>
      </c>
      <c r="F155" t="s">
        <v>306</v>
      </c>
      <c r="G155">
        <v>3</v>
      </c>
      <c r="H155" s="17">
        <v>0</v>
      </c>
    </row>
    <row r="156" spans="1:8">
      <c r="A156" s="31" t="s">
        <v>143</v>
      </c>
      <c r="B156" s="6" t="s">
        <v>145</v>
      </c>
      <c r="C156" s="8">
        <v>0</v>
      </c>
      <c r="D156">
        <v>2</v>
      </c>
      <c r="F156" t="s">
        <v>307</v>
      </c>
      <c r="G156">
        <v>21</v>
      </c>
      <c r="H156" s="17">
        <v>3</v>
      </c>
    </row>
    <row r="157" spans="1:8">
      <c r="A157" s="31" t="s">
        <v>143</v>
      </c>
      <c r="B157" s="6" t="s">
        <v>146</v>
      </c>
      <c r="C157" s="8">
        <v>0</v>
      </c>
      <c r="D157">
        <v>3</v>
      </c>
      <c r="F157" t="s">
        <v>308</v>
      </c>
      <c r="G157">
        <v>9</v>
      </c>
      <c r="H157" s="17">
        <v>0</v>
      </c>
    </row>
    <row r="158" spans="1:8">
      <c r="A158" s="31" t="s">
        <v>143</v>
      </c>
      <c r="B158" s="6" t="s">
        <v>147</v>
      </c>
      <c r="C158" s="8">
        <v>0</v>
      </c>
      <c r="D158">
        <v>4</v>
      </c>
      <c r="F158" t="s">
        <v>309</v>
      </c>
      <c r="G158">
        <v>19</v>
      </c>
      <c r="H158" s="17">
        <v>0</v>
      </c>
    </row>
    <row r="159" spans="1:8">
      <c r="A159" s="31" t="s">
        <v>143</v>
      </c>
      <c r="B159" s="6" t="s">
        <v>148</v>
      </c>
      <c r="C159" s="8">
        <v>0</v>
      </c>
      <c r="D159">
        <v>5</v>
      </c>
      <c r="F159" t="s">
        <v>310</v>
      </c>
      <c r="G159">
        <v>20</v>
      </c>
      <c r="H159" s="17">
        <v>0</v>
      </c>
    </row>
    <row r="160" spans="1:8">
      <c r="A160" s="31" t="s">
        <v>149</v>
      </c>
      <c r="B160" s="6" t="s">
        <v>150</v>
      </c>
      <c r="C160" s="8">
        <v>0</v>
      </c>
      <c r="D160">
        <v>1</v>
      </c>
      <c r="F160" t="s">
        <v>311</v>
      </c>
      <c r="G160">
        <v>19</v>
      </c>
      <c r="H160" s="17">
        <v>0</v>
      </c>
    </row>
    <row r="161" spans="1:8">
      <c r="A161" s="31" t="s">
        <v>149</v>
      </c>
      <c r="B161" s="6" t="s">
        <v>136</v>
      </c>
      <c r="C161" s="8">
        <v>0</v>
      </c>
      <c r="D161">
        <v>2</v>
      </c>
      <c r="F161" t="s">
        <v>312</v>
      </c>
      <c r="G161">
        <v>9</v>
      </c>
      <c r="H161" s="17">
        <v>0</v>
      </c>
    </row>
    <row r="162" spans="1:8">
      <c r="A162" s="31" t="s">
        <v>151</v>
      </c>
      <c r="B162" s="6" t="s">
        <v>152</v>
      </c>
      <c r="C162" s="8">
        <v>0</v>
      </c>
      <c r="D162">
        <v>1</v>
      </c>
      <c r="F162" t="s">
        <v>313</v>
      </c>
      <c r="G162">
        <v>3</v>
      </c>
      <c r="H162" s="17">
        <v>0</v>
      </c>
    </row>
    <row r="163" spans="1:8">
      <c r="A163" s="31" t="s">
        <v>153</v>
      </c>
      <c r="B163" s="6" t="s">
        <v>154</v>
      </c>
      <c r="C163" s="8">
        <v>0</v>
      </c>
      <c r="D163">
        <v>1</v>
      </c>
      <c r="F163" t="s">
        <v>314</v>
      </c>
      <c r="G163">
        <v>21</v>
      </c>
      <c r="H163" s="17">
        <v>0</v>
      </c>
    </row>
    <row r="164" spans="1:8">
      <c r="A164" s="31" t="s">
        <v>155</v>
      </c>
      <c r="B164" s="6" t="s">
        <v>156</v>
      </c>
      <c r="C164" s="8">
        <v>0</v>
      </c>
      <c r="D164">
        <v>1</v>
      </c>
      <c r="F164" t="s">
        <v>315</v>
      </c>
      <c r="G164">
        <v>18</v>
      </c>
      <c r="H164" s="17">
        <v>22</v>
      </c>
    </row>
    <row r="165" spans="1:8">
      <c r="A165" s="31" t="s">
        <v>157</v>
      </c>
      <c r="B165" s="6" t="s">
        <v>158</v>
      </c>
      <c r="C165" s="8">
        <v>114</v>
      </c>
      <c r="D165">
        <v>1</v>
      </c>
      <c r="F165" t="s">
        <v>316</v>
      </c>
      <c r="G165">
        <v>16</v>
      </c>
      <c r="H165" s="17">
        <v>43</v>
      </c>
    </row>
    <row r="166" spans="1:8">
      <c r="A166" s="31" t="s">
        <v>157</v>
      </c>
      <c r="B166" s="6" t="s">
        <v>159</v>
      </c>
      <c r="C166" s="8">
        <v>0</v>
      </c>
      <c r="D166">
        <v>2</v>
      </c>
      <c r="F166" t="s">
        <v>317</v>
      </c>
      <c r="G166">
        <v>8</v>
      </c>
      <c r="H166" s="17">
        <v>0</v>
      </c>
    </row>
    <row r="167" spans="1:8">
      <c r="A167" s="31" t="s">
        <v>157</v>
      </c>
      <c r="B167" s="6" t="s">
        <v>160</v>
      </c>
      <c r="C167" s="8">
        <v>12</v>
      </c>
      <c r="D167">
        <v>3</v>
      </c>
      <c r="F167" t="s">
        <v>318</v>
      </c>
      <c r="G167">
        <v>3</v>
      </c>
      <c r="H167" s="17">
        <v>14</v>
      </c>
    </row>
    <row r="168" spans="1:8">
      <c r="A168" s="31" t="s">
        <v>157</v>
      </c>
      <c r="B168" s="6" t="s">
        <v>161</v>
      </c>
      <c r="C168" s="8">
        <v>0</v>
      </c>
      <c r="D168">
        <v>4</v>
      </c>
      <c r="F168" t="s">
        <v>319</v>
      </c>
      <c r="G168">
        <v>10</v>
      </c>
      <c r="H168" s="17">
        <v>82</v>
      </c>
    </row>
    <row r="169" spans="1:8">
      <c r="A169" s="31" t="s">
        <v>157</v>
      </c>
      <c r="B169" s="6" t="s">
        <v>162</v>
      </c>
      <c r="C169" s="8">
        <v>28</v>
      </c>
      <c r="D169">
        <v>5</v>
      </c>
      <c r="F169" t="s">
        <v>320</v>
      </c>
      <c r="G169">
        <v>2</v>
      </c>
      <c r="H169" s="17">
        <v>0</v>
      </c>
    </row>
    <row r="170" spans="1:8">
      <c r="A170" s="31" t="s">
        <v>163</v>
      </c>
      <c r="B170" s="6" t="s">
        <v>164</v>
      </c>
      <c r="C170" s="8">
        <v>0</v>
      </c>
      <c r="D170">
        <v>1</v>
      </c>
      <c r="F170" t="s">
        <v>322</v>
      </c>
      <c r="G170">
        <v>1</v>
      </c>
      <c r="H170" s="17">
        <v>0</v>
      </c>
    </row>
    <row r="171" spans="1:8">
      <c r="A171" s="31" t="s">
        <v>163</v>
      </c>
      <c r="B171" s="6" t="s">
        <v>165</v>
      </c>
      <c r="C171" s="8">
        <v>0</v>
      </c>
      <c r="D171">
        <v>2</v>
      </c>
      <c r="F171" t="s">
        <v>323</v>
      </c>
      <c r="G171">
        <v>1</v>
      </c>
      <c r="H171" s="17">
        <v>0</v>
      </c>
    </row>
    <row r="172" spans="1:8">
      <c r="A172" s="31" t="s">
        <v>166</v>
      </c>
      <c r="B172" s="6" t="s">
        <v>167</v>
      </c>
      <c r="C172" s="8">
        <v>0</v>
      </c>
      <c r="D172">
        <v>1</v>
      </c>
      <c r="F172" t="s">
        <v>325</v>
      </c>
      <c r="G172">
        <v>2</v>
      </c>
      <c r="H172" s="17">
        <v>0</v>
      </c>
    </row>
    <row r="173" spans="1:8">
      <c r="A173" s="31" t="s">
        <v>166</v>
      </c>
      <c r="B173" s="6" t="s">
        <v>168</v>
      </c>
      <c r="C173" s="8">
        <v>0</v>
      </c>
      <c r="D173">
        <v>2</v>
      </c>
      <c r="F173" t="s">
        <v>328</v>
      </c>
      <c r="G173">
        <v>2</v>
      </c>
      <c r="H173" s="17">
        <v>0</v>
      </c>
    </row>
    <row r="174" spans="1:8">
      <c r="A174" s="31" t="s">
        <v>169</v>
      </c>
      <c r="B174" s="6" t="s">
        <v>170</v>
      </c>
      <c r="C174" s="8">
        <v>0</v>
      </c>
      <c r="D174">
        <v>1</v>
      </c>
      <c r="F174" t="s">
        <v>329</v>
      </c>
      <c r="G174">
        <v>1</v>
      </c>
      <c r="H174" s="17">
        <v>0</v>
      </c>
    </row>
    <row r="175" spans="1:8">
      <c r="A175" s="31" t="s">
        <v>169</v>
      </c>
      <c r="B175" s="6" t="s">
        <v>171</v>
      </c>
      <c r="C175" s="8">
        <v>0</v>
      </c>
      <c r="D175">
        <v>2</v>
      </c>
      <c r="F175" t="s">
        <v>331</v>
      </c>
      <c r="G175">
        <v>2</v>
      </c>
      <c r="H175" s="17">
        <v>0</v>
      </c>
    </row>
    <row r="176" spans="1:8">
      <c r="A176" s="31" t="s">
        <v>172</v>
      </c>
      <c r="B176" s="6" t="s">
        <v>173</v>
      </c>
      <c r="C176" s="8">
        <v>0</v>
      </c>
      <c r="D176">
        <v>1</v>
      </c>
      <c r="F176" t="s">
        <v>334</v>
      </c>
      <c r="G176">
        <v>1</v>
      </c>
      <c r="H176" s="17">
        <v>15</v>
      </c>
    </row>
    <row r="177" spans="1:8">
      <c r="A177" s="31" t="s">
        <v>174</v>
      </c>
      <c r="B177" s="6" t="s">
        <v>175</v>
      </c>
      <c r="C177" s="8">
        <v>9</v>
      </c>
      <c r="D177">
        <v>1</v>
      </c>
      <c r="F177" t="s">
        <v>335</v>
      </c>
      <c r="G177">
        <v>1</v>
      </c>
      <c r="H177" s="17">
        <v>6</v>
      </c>
    </row>
    <row r="178" spans="1:8">
      <c r="A178" s="31" t="s">
        <v>174</v>
      </c>
      <c r="B178" s="6" t="s">
        <v>176</v>
      </c>
      <c r="C178" s="8">
        <v>0</v>
      </c>
      <c r="D178">
        <v>2</v>
      </c>
      <c r="F178" t="s">
        <v>336</v>
      </c>
      <c r="G178">
        <v>1</v>
      </c>
      <c r="H178" s="17">
        <v>0</v>
      </c>
    </row>
    <row r="179" spans="1:8">
      <c r="A179" s="31" t="s">
        <v>177</v>
      </c>
      <c r="B179" s="6" t="s">
        <v>178</v>
      </c>
      <c r="C179" s="8">
        <v>0</v>
      </c>
      <c r="D179">
        <v>1</v>
      </c>
      <c r="F179" t="s">
        <v>338</v>
      </c>
      <c r="G179">
        <v>2</v>
      </c>
      <c r="H179" s="17">
        <v>0</v>
      </c>
    </row>
    <row r="180" spans="1:8">
      <c r="A180" s="31" t="s">
        <v>179</v>
      </c>
      <c r="B180" s="6" t="s">
        <v>178</v>
      </c>
      <c r="C180" s="8">
        <v>0</v>
      </c>
      <c r="D180">
        <v>1</v>
      </c>
      <c r="F180" t="s">
        <v>341</v>
      </c>
      <c r="G180">
        <v>1</v>
      </c>
      <c r="H180" s="17">
        <v>0</v>
      </c>
    </row>
    <row r="181" spans="1:8">
      <c r="A181" s="31" t="s">
        <v>180</v>
      </c>
      <c r="B181" s="6" t="s">
        <v>178</v>
      </c>
      <c r="C181" s="8">
        <v>0</v>
      </c>
      <c r="D181">
        <v>1</v>
      </c>
      <c r="F181" t="s">
        <v>343</v>
      </c>
      <c r="G181">
        <v>4</v>
      </c>
      <c r="H181" s="17">
        <v>10</v>
      </c>
    </row>
    <row r="182" spans="1:8">
      <c r="A182" s="31" t="s">
        <v>181</v>
      </c>
      <c r="B182" s="6" t="s">
        <v>178</v>
      </c>
      <c r="C182" s="8">
        <v>0</v>
      </c>
      <c r="D182">
        <v>1</v>
      </c>
      <c r="F182" t="s">
        <v>348</v>
      </c>
      <c r="G182">
        <v>1</v>
      </c>
      <c r="H182" s="17">
        <v>0</v>
      </c>
    </row>
    <row r="183" spans="1:8">
      <c r="A183" s="31" t="s">
        <v>182</v>
      </c>
      <c r="B183" s="6" t="s">
        <v>178</v>
      </c>
      <c r="C183" s="8">
        <v>0</v>
      </c>
      <c r="D183">
        <v>1</v>
      </c>
      <c r="F183" t="s">
        <v>350</v>
      </c>
      <c r="G183">
        <v>4</v>
      </c>
      <c r="H183" s="17">
        <v>0</v>
      </c>
    </row>
    <row r="184" spans="1:8">
      <c r="A184" s="31" t="s">
        <v>183</v>
      </c>
      <c r="B184" s="6" t="s">
        <v>178</v>
      </c>
      <c r="C184" s="8">
        <v>0</v>
      </c>
      <c r="D184">
        <v>1</v>
      </c>
      <c r="F184" t="s">
        <v>355</v>
      </c>
      <c r="G184">
        <v>5</v>
      </c>
      <c r="H184" s="17">
        <v>0</v>
      </c>
    </row>
    <row r="185" spans="1:8">
      <c r="A185" s="31" t="s">
        <v>184</v>
      </c>
      <c r="B185" s="6" t="s">
        <v>178</v>
      </c>
      <c r="C185" s="8">
        <v>0</v>
      </c>
      <c r="D185">
        <v>1</v>
      </c>
      <c r="F185" t="s">
        <v>358</v>
      </c>
      <c r="G185">
        <v>5</v>
      </c>
      <c r="H185" s="17">
        <v>0</v>
      </c>
    </row>
    <row r="186" spans="1:8">
      <c r="A186" s="31" t="s">
        <v>185</v>
      </c>
      <c r="B186" s="6" t="s">
        <v>186</v>
      </c>
      <c r="C186" s="8">
        <v>0</v>
      </c>
      <c r="D186">
        <v>1</v>
      </c>
      <c r="F186" t="s">
        <v>360</v>
      </c>
      <c r="G186">
        <v>3</v>
      </c>
      <c r="H186" s="17">
        <v>0</v>
      </c>
    </row>
    <row r="187" spans="1:8">
      <c r="A187" s="31" t="s">
        <v>187</v>
      </c>
      <c r="B187" s="6" t="s">
        <v>188</v>
      </c>
      <c r="C187" s="8">
        <v>0</v>
      </c>
      <c r="D187">
        <v>1</v>
      </c>
      <c r="F187" t="s">
        <v>364</v>
      </c>
      <c r="G187">
        <v>1</v>
      </c>
      <c r="H187" s="17">
        <v>0</v>
      </c>
    </row>
    <row r="188" spans="1:8">
      <c r="A188" s="31" t="s">
        <v>187</v>
      </c>
      <c r="B188" s="6" t="s">
        <v>189</v>
      </c>
      <c r="C188" s="8">
        <v>0</v>
      </c>
      <c r="D188">
        <v>2</v>
      </c>
      <c r="F188" t="s">
        <v>366</v>
      </c>
      <c r="G188">
        <v>6</v>
      </c>
      <c r="H188" s="17">
        <v>1</v>
      </c>
    </row>
    <row r="189" spans="1:8">
      <c r="A189" s="31" t="s">
        <v>190</v>
      </c>
      <c r="B189" s="6" t="s">
        <v>191</v>
      </c>
      <c r="C189" s="8">
        <v>24</v>
      </c>
      <c r="D189">
        <v>1</v>
      </c>
      <c r="F189" t="s">
        <v>373</v>
      </c>
      <c r="G189">
        <v>3</v>
      </c>
      <c r="H189" s="17">
        <v>0</v>
      </c>
    </row>
    <row r="190" spans="1:8">
      <c r="A190" s="31" t="s">
        <v>190</v>
      </c>
      <c r="B190" s="6" t="s">
        <v>192</v>
      </c>
      <c r="C190" s="8">
        <v>0</v>
      </c>
      <c r="D190">
        <v>2</v>
      </c>
      <c r="F190" t="s">
        <v>374</v>
      </c>
      <c r="G190">
        <v>1</v>
      </c>
      <c r="H190" s="17">
        <v>0</v>
      </c>
    </row>
    <row r="191" spans="1:8">
      <c r="A191" s="31" t="s">
        <v>190</v>
      </c>
      <c r="B191" s="6" t="s">
        <v>193</v>
      </c>
      <c r="C191" s="8">
        <v>0</v>
      </c>
      <c r="D191">
        <v>3</v>
      </c>
      <c r="F191" t="s">
        <v>376</v>
      </c>
      <c r="G191">
        <v>1</v>
      </c>
      <c r="H191" s="17">
        <v>12</v>
      </c>
    </row>
    <row r="192" spans="1:8">
      <c r="A192" s="31" t="s">
        <v>190</v>
      </c>
      <c r="B192" s="6" t="s">
        <v>194</v>
      </c>
      <c r="C192" s="8">
        <v>0</v>
      </c>
      <c r="D192">
        <v>4</v>
      </c>
      <c r="F192" t="s">
        <v>378</v>
      </c>
      <c r="G192">
        <v>1</v>
      </c>
      <c r="H192" s="17">
        <v>0</v>
      </c>
    </row>
    <row r="193" spans="1:8">
      <c r="A193" s="31" t="s">
        <v>190</v>
      </c>
      <c r="B193" s="6" t="s">
        <v>195</v>
      </c>
      <c r="C193" s="8">
        <v>0</v>
      </c>
      <c r="D193">
        <v>5</v>
      </c>
      <c r="F193" t="s">
        <v>380</v>
      </c>
      <c r="G193">
        <v>1</v>
      </c>
      <c r="H193" s="17">
        <v>0</v>
      </c>
    </row>
    <row r="194" spans="1:8">
      <c r="A194" s="31" t="s">
        <v>190</v>
      </c>
      <c r="B194" s="6" t="s">
        <v>196</v>
      </c>
      <c r="C194" s="8">
        <v>0</v>
      </c>
      <c r="D194">
        <v>6</v>
      </c>
      <c r="F194" t="s">
        <v>381</v>
      </c>
      <c r="G194">
        <v>1</v>
      </c>
      <c r="H194" s="17">
        <v>0</v>
      </c>
    </row>
    <row r="195" spans="1:8">
      <c r="A195" s="31" t="s">
        <v>197</v>
      </c>
      <c r="B195" s="6" t="s">
        <v>198</v>
      </c>
      <c r="C195" s="8">
        <v>0</v>
      </c>
      <c r="D195">
        <v>1</v>
      </c>
      <c r="F195" t="s">
        <v>383</v>
      </c>
      <c r="G195">
        <v>1</v>
      </c>
      <c r="H195" s="17">
        <v>0</v>
      </c>
    </row>
    <row r="196" spans="1:8">
      <c r="A196" s="31" t="s">
        <v>199</v>
      </c>
      <c r="B196" s="6" t="s">
        <v>200</v>
      </c>
      <c r="C196" s="8">
        <v>8</v>
      </c>
      <c r="D196">
        <v>1</v>
      </c>
      <c r="F196" t="s">
        <v>384</v>
      </c>
      <c r="G196">
        <v>1</v>
      </c>
      <c r="H196" s="17">
        <v>0</v>
      </c>
    </row>
    <row r="197" spans="1:8">
      <c r="A197" s="31" t="s">
        <v>199</v>
      </c>
      <c r="B197" s="6" t="s">
        <v>201</v>
      </c>
      <c r="C197" s="8">
        <v>0</v>
      </c>
      <c r="D197">
        <v>2</v>
      </c>
      <c r="F197" t="s">
        <v>385</v>
      </c>
      <c r="G197">
        <v>1</v>
      </c>
      <c r="H197" s="17">
        <v>0</v>
      </c>
    </row>
    <row r="198" spans="1:8">
      <c r="A198" s="31" t="s">
        <v>199</v>
      </c>
      <c r="B198" s="6" t="s">
        <v>202</v>
      </c>
      <c r="C198" s="8">
        <v>0</v>
      </c>
      <c r="D198">
        <v>3</v>
      </c>
      <c r="F198" t="s">
        <v>387</v>
      </c>
      <c r="G198">
        <v>3</v>
      </c>
      <c r="H198" s="17">
        <v>0</v>
      </c>
    </row>
    <row r="199" spans="1:8">
      <c r="A199" s="31" t="s">
        <v>199</v>
      </c>
      <c r="B199" s="6" t="s">
        <v>203</v>
      </c>
      <c r="C199" s="8">
        <v>0</v>
      </c>
      <c r="D199">
        <v>4</v>
      </c>
      <c r="F199" t="s">
        <v>389</v>
      </c>
      <c r="G199">
        <v>3</v>
      </c>
      <c r="H199" s="17">
        <v>0</v>
      </c>
    </row>
    <row r="200" spans="1:8">
      <c r="A200" s="31" t="s">
        <v>199</v>
      </c>
      <c r="B200" s="6" t="s">
        <v>204</v>
      </c>
      <c r="C200" s="8">
        <v>0</v>
      </c>
      <c r="D200">
        <v>5</v>
      </c>
      <c r="F200" t="s">
        <v>391</v>
      </c>
      <c r="G200">
        <v>1</v>
      </c>
      <c r="H200" s="17">
        <v>0</v>
      </c>
    </row>
    <row r="201" spans="1:8">
      <c r="A201" s="31" t="s">
        <v>205</v>
      </c>
      <c r="B201" s="6" t="s">
        <v>206</v>
      </c>
      <c r="C201" s="8">
        <v>1</v>
      </c>
      <c r="D201">
        <v>1</v>
      </c>
      <c r="F201" t="s">
        <v>393</v>
      </c>
      <c r="G201">
        <v>1</v>
      </c>
      <c r="H201" s="17">
        <v>0</v>
      </c>
    </row>
    <row r="202" spans="1:8">
      <c r="A202" s="31" t="s">
        <v>205</v>
      </c>
      <c r="B202" s="6" t="s">
        <v>207</v>
      </c>
      <c r="C202" s="8">
        <v>0</v>
      </c>
      <c r="D202">
        <v>2</v>
      </c>
      <c r="F202" t="s">
        <v>395</v>
      </c>
      <c r="G202">
        <v>2</v>
      </c>
      <c r="H202" s="17">
        <v>2</v>
      </c>
    </row>
    <row r="203" spans="1:8">
      <c r="A203" s="31" t="s">
        <v>205</v>
      </c>
      <c r="B203" s="6" t="s">
        <v>208</v>
      </c>
      <c r="C203" s="8">
        <v>0</v>
      </c>
      <c r="D203">
        <v>3</v>
      </c>
      <c r="F203" t="s">
        <v>398</v>
      </c>
      <c r="G203">
        <v>1</v>
      </c>
      <c r="H203" s="17">
        <v>1</v>
      </c>
    </row>
    <row r="204" spans="1:8">
      <c r="A204" s="31" t="s">
        <v>209</v>
      </c>
      <c r="B204" s="6" t="s">
        <v>206</v>
      </c>
      <c r="C204" s="8">
        <v>0</v>
      </c>
      <c r="D204">
        <v>1</v>
      </c>
      <c r="F204" t="s">
        <v>400</v>
      </c>
      <c r="G204">
        <v>1</v>
      </c>
      <c r="H204" s="17">
        <v>4</v>
      </c>
    </row>
    <row r="205" spans="1:8">
      <c r="A205" s="31" t="s">
        <v>209</v>
      </c>
      <c r="B205" s="6" t="s">
        <v>207</v>
      </c>
      <c r="C205" s="8">
        <v>0</v>
      </c>
      <c r="D205">
        <v>2</v>
      </c>
      <c r="F205" t="s">
        <v>402</v>
      </c>
      <c r="G205">
        <v>1</v>
      </c>
      <c r="H205" s="17">
        <v>17</v>
      </c>
    </row>
    <row r="206" spans="1:8">
      <c r="A206" s="31" t="s">
        <v>209</v>
      </c>
      <c r="B206" s="6" t="s">
        <v>210</v>
      </c>
      <c r="C206" s="8">
        <v>0</v>
      </c>
      <c r="D206">
        <v>3</v>
      </c>
      <c r="F206" t="s">
        <v>403</v>
      </c>
      <c r="G206">
        <v>1</v>
      </c>
      <c r="H206" s="17">
        <v>0</v>
      </c>
    </row>
    <row r="207" spans="1:8">
      <c r="A207" s="31" t="s">
        <v>211</v>
      </c>
      <c r="B207" s="6" t="s">
        <v>206</v>
      </c>
      <c r="C207" s="8">
        <v>0</v>
      </c>
      <c r="D207">
        <v>1</v>
      </c>
      <c r="F207" t="s">
        <v>405</v>
      </c>
      <c r="G207">
        <v>3</v>
      </c>
      <c r="H207" s="17">
        <v>7</v>
      </c>
    </row>
    <row r="208" spans="1:8">
      <c r="A208" s="31" t="s">
        <v>211</v>
      </c>
      <c r="B208" s="6" t="s">
        <v>207</v>
      </c>
      <c r="C208" s="8">
        <v>0</v>
      </c>
      <c r="D208">
        <v>2</v>
      </c>
      <c r="F208" t="s">
        <v>409</v>
      </c>
      <c r="G208">
        <v>1</v>
      </c>
      <c r="H208" s="17">
        <v>0</v>
      </c>
    </row>
    <row r="209" spans="1:8">
      <c r="A209" s="31" t="s">
        <v>211</v>
      </c>
      <c r="B209" s="6" t="s">
        <v>210</v>
      </c>
      <c r="C209" s="8">
        <v>0</v>
      </c>
      <c r="D209">
        <v>3</v>
      </c>
      <c r="F209" t="s">
        <v>411</v>
      </c>
      <c r="G209">
        <v>5</v>
      </c>
      <c r="H209" s="17">
        <v>29</v>
      </c>
    </row>
    <row r="210" spans="1:8">
      <c r="A210" s="31" t="s">
        <v>212</v>
      </c>
      <c r="B210" s="6" t="s">
        <v>213</v>
      </c>
      <c r="C210" s="8">
        <v>0</v>
      </c>
      <c r="D210">
        <v>1</v>
      </c>
      <c r="F210" t="s">
        <v>415</v>
      </c>
      <c r="G210">
        <v>1</v>
      </c>
      <c r="H210" s="17">
        <v>0</v>
      </c>
    </row>
    <row r="211" spans="1:8">
      <c r="A211" s="31" t="s">
        <v>214</v>
      </c>
      <c r="B211" s="6" t="s">
        <v>215</v>
      </c>
      <c r="C211" s="8">
        <v>0</v>
      </c>
      <c r="D211">
        <v>1</v>
      </c>
      <c r="F211" t="s">
        <v>417</v>
      </c>
      <c r="G211">
        <v>1</v>
      </c>
      <c r="H211" s="17">
        <v>0</v>
      </c>
    </row>
    <row r="212" spans="1:8">
      <c r="A212" s="31" t="s">
        <v>216</v>
      </c>
      <c r="B212" s="6" t="s">
        <v>215</v>
      </c>
      <c r="C212" s="8">
        <v>0</v>
      </c>
      <c r="D212">
        <v>1</v>
      </c>
      <c r="F212" t="s">
        <v>419</v>
      </c>
      <c r="G212">
        <v>2</v>
      </c>
      <c r="H212" s="17">
        <v>0</v>
      </c>
    </row>
    <row r="213" spans="1:8">
      <c r="A213" s="31" t="s">
        <v>217</v>
      </c>
      <c r="B213" s="6" t="s">
        <v>215</v>
      </c>
      <c r="C213" s="8">
        <v>0</v>
      </c>
      <c r="D213">
        <v>1</v>
      </c>
      <c r="F213" t="s">
        <v>422</v>
      </c>
      <c r="G213">
        <v>2</v>
      </c>
      <c r="H213" s="17">
        <v>0</v>
      </c>
    </row>
    <row r="214" spans="1:8">
      <c r="A214" s="31" t="s">
        <v>218</v>
      </c>
      <c r="B214" s="6" t="s">
        <v>215</v>
      </c>
      <c r="C214" s="8">
        <v>0</v>
      </c>
      <c r="D214">
        <v>1</v>
      </c>
      <c r="F214" t="s">
        <v>425</v>
      </c>
      <c r="G214">
        <v>1</v>
      </c>
      <c r="H214" s="17">
        <v>4</v>
      </c>
    </row>
    <row r="215" spans="1:8">
      <c r="A215" s="31" t="s">
        <v>219</v>
      </c>
      <c r="B215" s="6" t="s">
        <v>215</v>
      </c>
      <c r="C215" s="8">
        <v>0</v>
      </c>
      <c r="D215">
        <v>1</v>
      </c>
      <c r="F215" t="s">
        <v>427</v>
      </c>
      <c r="G215">
        <v>2</v>
      </c>
      <c r="H215" s="17">
        <v>0</v>
      </c>
    </row>
    <row r="216" spans="1:8">
      <c r="A216" s="31" t="s">
        <v>220</v>
      </c>
      <c r="B216" s="6" t="s">
        <v>215</v>
      </c>
      <c r="C216" s="8">
        <v>0</v>
      </c>
      <c r="D216">
        <v>1</v>
      </c>
      <c r="F216" t="s">
        <v>428</v>
      </c>
      <c r="G216">
        <v>3</v>
      </c>
      <c r="H216" s="17">
        <v>0</v>
      </c>
    </row>
    <row r="217" spans="1:8">
      <c r="A217" s="31" t="s">
        <v>221</v>
      </c>
      <c r="B217" s="6" t="s">
        <v>222</v>
      </c>
      <c r="C217" s="8">
        <v>0</v>
      </c>
      <c r="D217">
        <v>1</v>
      </c>
      <c r="F217" t="s">
        <v>432</v>
      </c>
      <c r="G217">
        <v>2</v>
      </c>
      <c r="H217" s="17">
        <v>1</v>
      </c>
    </row>
    <row r="218" spans="1:8">
      <c r="A218" s="31" t="s">
        <v>221</v>
      </c>
      <c r="B218" s="6" t="s">
        <v>223</v>
      </c>
      <c r="C218" s="8">
        <v>0</v>
      </c>
      <c r="D218">
        <v>2</v>
      </c>
      <c r="F218" t="s">
        <v>433</v>
      </c>
      <c r="G218">
        <v>2</v>
      </c>
      <c r="H218" s="17">
        <v>0</v>
      </c>
    </row>
    <row r="219" spans="1:8">
      <c r="A219" s="31" t="s">
        <v>224</v>
      </c>
      <c r="B219" s="6" t="s">
        <v>225</v>
      </c>
      <c r="C219" s="8">
        <v>0</v>
      </c>
      <c r="D219">
        <v>1</v>
      </c>
      <c r="F219" t="s">
        <v>434</v>
      </c>
      <c r="G219">
        <v>2</v>
      </c>
      <c r="H219" s="17">
        <v>0</v>
      </c>
    </row>
    <row r="220" spans="1:8">
      <c r="A220" s="31" t="s">
        <v>226</v>
      </c>
      <c r="B220" s="6" t="s">
        <v>227</v>
      </c>
      <c r="C220" s="8">
        <v>0</v>
      </c>
      <c r="D220">
        <v>1</v>
      </c>
      <c r="F220" t="s">
        <v>436</v>
      </c>
      <c r="G220">
        <v>2</v>
      </c>
      <c r="H220" s="17">
        <v>3</v>
      </c>
    </row>
    <row r="221" spans="1:8">
      <c r="A221" s="31" t="s">
        <v>228</v>
      </c>
      <c r="B221" s="6" t="s">
        <v>229</v>
      </c>
      <c r="C221" s="8">
        <v>15</v>
      </c>
      <c r="D221">
        <v>1</v>
      </c>
      <c r="F221" t="s">
        <v>437</v>
      </c>
      <c r="G221">
        <v>2</v>
      </c>
      <c r="H221" s="17">
        <v>0</v>
      </c>
    </row>
    <row r="222" spans="1:8">
      <c r="A222" s="31" t="s">
        <v>230</v>
      </c>
      <c r="B222" s="6" t="s">
        <v>229</v>
      </c>
      <c r="C222" s="8">
        <v>6</v>
      </c>
      <c r="D222">
        <v>1</v>
      </c>
      <c r="F222" t="s">
        <v>438</v>
      </c>
      <c r="G222">
        <v>1</v>
      </c>
      <c r="H222" s="17">
        <v>0</v>
      </c>
    </row>
    <row r="223" spans="1:8">
      <c r="A223" s="31" t="s">
        <v>231</v>
      </c>
      <c r="B223" s="6" t="s">
        <v>232</v>
      </c>
      <c r="C223" s="8">
        <v>0</v>
      </c>
      <c r="D223">
        <v>1</v>
      </c>
      <c r="F223" t="s">
        <v>439</v>
      </c>
      <c r="G223">
        <v>2</v>
      </c>
      <c r="H223" s="17">
        <v>0</v>
      </c>
    </row>
    <row r="224" spans="1:8">
      <c r="A224" s="31" t="s">
        <v>231</v>
      </c>
      <c r="B224" s="6" t="s">
        <v>233</v>
      </c>
      <c r="C224" s="8">
        <v>0</v>
      </c>
      <c r="D224">
        <v>2</v>
      </c>
      <c r="F224" t="s">
        <v>440</v>
      </c>
      <c r="G224">
        <v>2</v>
      </c>
      <c r="H224" s="17">
        <v>0</v>
      </c>
    </row>
    <row r="225" spans="1:8">
      <c r="A225" s="31" t="s">
        <v>234</v>
      </c>
      <c r="B225" s="6" t="s">
        <v>232</v>
      </c>
      <c r="C225" s="8">
        <v>0</v>
      </c>
      <c r="D225">
        <v>1</v>
      </c>
      <c r="F225" t="s">
        <v>441</v>
      </c>
      <c r="G225">
        <v>1</v>
      </c>
      <c r="H225" s="17">
        <v>0</v>
      </c>
    </row>
    <row r="226" spans="1:8">
      <c r="A226" s="31" t="s">
        <v>235</v>
      </c>
      <c r="B226" s="6" t="s">
        <v>232</v>
      </c>
      <c r="C226" s="8">
        <v>0</v>
      </c>
      <c r="D226">
        <v>1</v>
      </c>
      <c r="F226" t="s">
        <v>443</v>
      </c>
      <c r="G226">
        <v>4</v>
      </c>
      <c r="H226" s="17">
        <v>0</v>
      </c>
    </row>
    <row r="227" spans="1:8">
      <c r="A227" s="31" t="s">
        <v>235</v>
      </c>
      <c r="B227" s="6" t="s">
        <v>233</v>
      </c>
      <c r="C227" s="8">
        <v>0</v>
      </c>
      <c r="D227">
        <v>2</v>
      </c>
    </row>
    <row r="228" spans="1:8">
      <c r="A228" s="31" t="s">
        <v>236</v>
      </c>
      <c r="B228" s="6" t="s">
        <v>232</v>
      </c>
      <c r="C228" s="8">
        <v>0</v>
      </c>
      <c r="D228">
        <v>1</v>
      </c>
    </row>
    <row r="229" spans="1:8">
      <c r="A229" s="31" t="s">
        <v>237</v>
      </c>
      <c r="B229" s="6" t="s">
        <v>232</v>
      </c>
      <c r="C229" s="8">
        <v>0</v>
      </c>
      <c r="D229">
        <v>1</v>
      </c>
    </row>
    <row r="230" spans="1:8">
      <c r="A230" s="31" t="s">
        <v>237</v>
      </c>
      <c r="B230" s="6" t="s">
        <v>233</v>
      </c>
      <c r="C230" s="8">
        <v>0</v>
      </c>
      <c r="D230">
        <v>2</v>
      </c>
    </row>
    <row r="231" spans="1:8">
      <c r="A231" s="31" t="s">
        <v>238</v>
      </c>
      <c r="B231" s="6" t="s">
        <v>232</v>
      </c>
      <c r="C231" s="8">
        <v>0</v>
      </c>
      <c r="D231">
        <v>1</v>
      </c>
    </row>
    <row r="232" spans="1:8">
      <c r="A232" s="31" t="s">
        <v>238</v>
      </c>
      <c r="B232" s="6" t="s">
        <v>233</v>
      </c>
      <c r="C232" s="8">
        <v>0</v>
      </c>
      <c r="D232">
        <v>2</v>
      </c>
    </row>
    <row r="233" spans="1:8">
      <c r="A233" s="31" t="s">
        <v>238</v>
      </c>
      <c r="B233" s="6" t="s">
        <v>239</v>
      </c>
      <c r="C233" s="8">
        <v>0</v>
      </c>
      <c r="D233">
        <v>3</v>
      </c>
    </row>
    <row r="234" spans="1:8">
      <c r="A234" s="31" t="s">
        <v>240</v>
      </c>
      <c r="B234" s="6" t="s">
        <v>241</v>
      </c>
      <c r="C234" s="8">
        <v>0</v>
      </c>
      <c r="D234">
        <v>1</v>
      </c>
    </row>
    <row r="235" spans="1:8">
      <c r="A235" s="31" t="s">
        <v>240</v>
      </c>
      <c r="B235" s="6" t="s">
        <v>242</v>
      </c>
      <c r="C235" s="8">
        <v>0</v>
      </c>
      <c r="D235">
        <v>2</v>
      </c>
    </row>
    <row r="236" spans="1:8">
      <c r="A236" s="31" t="s">
        <v>240</v>
      </c>
      <c r="B236" s="6" t="s">
        <v>243</v>
      </c>
      <c r="C236" s="8">
        <v>0</v>
      </c>
      <c r="D236">
        <v>3</v>
      </c>
    </row>
    <row r="237" spans="1:8">
      <c r="A237" s="31" t="s">
        <v>240</v>
      </c>
      <c r="B237" s="6" t="s">
        <v>244</v>
      </c>
      <c r="C237" s="8">
        <v>0</v>
      </c>
      <c r="D237">
        <v>4</v>
      </c>
    </row>
    <row r="238" spans="1:8">
      <c r="A238" s="31" t="s">
        <v>245</v>
      </c>
      <c r="B238" s="6" t="s">
        <v>246</v>
      </c>
      <c r="C238" s="8">
        <v>0</v>
      </c>
      <c r="D238">
        <v>1</v>
      </c>
    </row>
    <row r="239" spans="1:8">
      <c r="A239" s="31" t="s">
        <v>247</v>
      </c>
      <c r="B239" s="6" t="s">
        <v>248</v>
      </c>
      <c r="C239" s="8">
        <v>0</v>
      </c>
      <c r="D239">
        <v>1</v>
      </c>
    </row>
    <row r="240" spans="1:8">
      <c r="A240" s="31" t="s">
        <v>249</v>
      </c>
      <c r="B240" s="6" t="s">
        <v>250</v>
      </c>
      <c r="C240" s="8">
        <v>1</v>
      </c>
      <c r="D240">
        <v>1</v>
      </c>
    </row>
    <row r="241" spans="1:4">
      <c r="A241" s="31" t="s">
        <v>249</v>
      </c>
      <c r="B241" s="6" t="s">
        <v>251</v>
      </c>
      <c r="C241" s="8">
        <v>0</v>
      </c>
      <c r="D241">
        <v>2</v>
      </c>
    </row>
    <row r="242" spans="1:4">
      <c r="A242" s="31" t="s">
        <v>252</v>
      </c>
      <c r="B242" s="6" t="s">
        <v>253</v>
      </c>
      <c r="C242" s="8">
        <v>1</v>
      </c>
      <c r="D242">
        <v>1</v>
      </c>
    </row>
    <row r="243" spans="1:4">
      <c r="A243" s="31" t="s">
        <v>252</v>
      </c>
      <c r="B243" s="6" t="s">
        <v>251</v>
      </c>
      <c r="C243" s="8">
        <v>0</v>
      </c>
      <c r="D243">
        <v>2</v>
      </c>
    </row>
    <row r="244" spans="1:4">
      <c r="A244" s="31" t="s">
        <v>254</v>
      </c>
      <c r="B244" s="6" t="s">
        <v>255</v>
      </c>
      <c r="C244" s="8">
        <v>0</v>
      </c>
      <c r="D244">
        <v>1</v>
      </c>
    </row>
    <row r="245" spans="1:4">
      <c r="A245" s="31" t="s">
        <v>256</v>
      </c>
      <c r="B245" s="6" t="s">
        <v>257</v>
      </c>
      <c r="C245" s="8">
        <v>0</v>
      </c>
      <c r="D245">
        <v>1</v>
      </c>
    </row>
    <row r="246" spans="1:4">
      <c r="A246" s="31" t="s">
        <v>258</v>
      </c>
      <c r="B246" s="6" t="s">
        <v>229</v>
      </c>
      <c r="C246" s="8">
        <v>15</v>
      </c>
      <c r="D246">
        <v>1</v>
      </c>
    </row>
    <row r="247" spans="1:4">
      <c r="A247" s="31" t="s">
        <v>259</v>
      </c>
      <c r="B247" s="6" t="s">
        <v>229</v>
      </c>
      <c r="C247" s="8">
        <v>6</v>
      </c>
      <c r="D247">
        <v>1</v>
      </c>
    </row>
    <row r="248" spans="1:4">
      <c r="A248" s="31" t="s">
        <v>260</v>
      </c>
      <c r="B248" s="6" t="s">
        <v>261</v>
      </c>
      <c r="C248" s="8">
        <v>0</v>
      </c>
      <c r="D248">
        <v>1</v>
      </c>
    </row>
    <row r="249" spans="1:4">
      <c r="A249" s="31" t="s">
        <v>260</v>
      </c>
      <c r="B249" s="6" t="s">
        <v>262</v>
      </c>
      <c r="C249" s="8">
        <v>0</v>
      </c>
      <c r="D249">
        <v>2</v>
      </c>
    </row>
    <row r="250" spans="1:4">
      <c r="A250" s="31" t="s">
        <v>263</v>
      </c>
      <c r="B250" s="6" t="s">
        <v>160</v>
      </c>
      <c r="C250" s="8">
        <v>0</v>
      </c>
      <c r="D250">
        <v>1</v>
      </c>
    </row>
    <row r="251" spans="1:4">
      <c r="A251" s="31" t="s">
        <v>263</v>
      </c>
      <c r="B251" s="6" t="s">
        <v>264</v>
      </c>
      <c r="C251" s="8">
        <v>0</v>
      </c>
      <c r="D251">
        <v>2</v>
      </c>
    </row>
    <row r="252" spans="1:4">
      <c r="A252" s="31" t="s">
        <v>263</v>
      </c>
      <c r="B252" s="6" t="s">
        <v>265</v>
      </c>
      <c r="C252" s="8">
        <v>0</v>
      </c>
      <c r="D252">
        <v>3</v>
      </c>
    </row>
    <row r="253" spans="1:4">
      <c r="A253" s="31" t="s">
        <v>263</v>
      </c>
      <c r="B253" s="6" t="s">
        <v>266</v>
      </c>
      <c r="C253" s="8">
        <v>0</v>
      </c>
      <c r="D253">
        <v>4</v>
      </c>
    </row>
    <row r="254" spans="1:4">
      <c r="A254" s="31" t="s">
        <v>263</v>
      </c>
      <c r="B254" s="6" t="s">
        <v>112</v>
      </c>
      <c r="C254" s="8">
        <v>0</v>
      </c>
      <c r="D254">
        <v>5</v>
      </c>
    </row>
    <row r="255" spans="1:4">
      <c r="A255" s="31" t="s">
        <v>263</v>
      </c>
      <c r="B255" s="6" t="s">
        <v>267</v>
      </c>
      <c r="C255" s="8">
        <v>0</v>
      </c>
      <c r="D255">
        <v>6</v>
      </c>
    </row>
    <row r="256" spans="1:4">
      <c r="A256" s="31" t="s">
        <v>263</v>
      </c>
      <c r="B256" s="6" t="s">
        <v>268</v>
      </c>
      <c r="C256" s="8">
        <v>0</v>
      </c>
      <c r="D256">
        <v>7</v>
      </c>
    </row>
    <row r="257" spans="1:4">
      <c r="A257" s="31" t="s">
        <v>263</v>
      </c>
      <c r="B257" s="6" t="s">
        <v>269</v>
      </c>
      <c r="C257" s="8">
        <v>0</v>
      </c>
      <c r="D257">
        <v>8</v>
      </c>
    </row>
    <row r="258" spans="1:4">
      <c r="A258" s="31" t="s">
        <v>263</v>
      </c>
      <c r="B258" s="6" t="s">
        <v>270</v>
      </c>
      <c r="C258" s="8">
        <v>5</v>
      </c>
      <c r="D258">
        <v>9</v>
      </c>
    </row>
    <row r="259" spans="1:4">
      <c r="A259" s="31" t="s">
        <v>263</v>
      </c>
      <c r="B259" s="6" t="s">
        <v>271</v>
      </c>
      <c r="C259" s="8">
        <v>0</v>
      </c>
      <c r="D259">
        <v>10</v>
      </c>
    </row>
    <row r="260" spans="1:4">
      <c r="A260" s="31" t="s">
        <v>263</v>
      </c>
      <c r="B260" s="6" t="s">
        <v>272</v>
      </c>
      <c r="C260" s="8">
        <v>0</v>
      </c>
      <c r="D260">
        <v>11</v>
      </c>
    </row>
    <row r="261" spans="1:4">
      <c r="A261" s="31" t="s">
        <v>263</v>
      </c>
      <c r="B261" s="6" t="s">
        <v>273</v>
      </c>
      <c r="C261" s="8">
        <v>0</v>
      </c>
      <c r="D261">
        <v>12</v>
      </c>
    </row>
    <row r="262" spans="1:4">
      <c r="A262" s="31" t="s">
        <v>263</v>
      </c>
      <c r="B262" s="6" t="s">
        <v>132</v>
      </c>
      <c r="C262" s="8">
        <v>0</v>
      </c>
      <c r="D262">
        <v>13</v>
      </c>
    </row>
    <row r="263" spans="1:4">
      <c r="A263" s="31" t="s">
        <v>263</v>
      </c>
      <c r="B263" s="6" t="s">
        <v>261</v>
      </c>
      <c r="C263" s="8">
        <v>0</v>
      </c>
      <c r="D263">
        <v>14</v>
      </c>
    </row>
    <row r="264" spans="1:4">
      <c r="A264" s="31" t="s">
        <v>263</v>
      </c>
      <c r="B264" s="6" t="s">
        <v>262</v>
      </c>
      <c r="C264" s="8">
        <v>0</v>
      </c>
      <c r="D264">
        <v>15</v>
      </c>
    </row>
    <row r="265" spans="1:4">
      <c r="A265" s="31" t="s">
        <v>274</v>
      </c>
      <c r="B265" s="6" t="s">
        <v>269</v>
      </c>
      <c r="C265" s="8">
        <v>0</v>
      </c>
      <c r="D265">
        <v>1</v>
      </c>
    </row>
    <row r="266" spans="1:4">
      <c r="A266" s="31" t="s">
        <v>274</v>
      </c>
      <c r="B266" s="6" t="s">
        <v>270</v>
      </c>
      <c r="C266" s="8">
        <v>0</v>
      </c>
      <c r="D266">
        <v>2</v>
      </c>
    </row>
    <row r="267" spans="1:4">
      <c r="A267" s="31" t="s">
        <v>274</v>
      </c>
      <c r="B267" s="6" t="s">
        <v>271</v>
      </c>
      <c r="C267" s="8">
        <v>0</v>
      </c>
      <c r="D267">
        <v>3</v>
      </c>
    </row>
    <row r="268" spans="1:4">
      <c r="A268" s="31" t="s">
        <v>274</v>
      </c>
      <c r="B268" s="6" t="s">
        <v>272</v>
      </c>
      <c r="C268" s="8">
        <v>0</v>
      </c>
      <c r="D268">
        <v>4</v>
      </c>
    </row>
    <row r="269" spans="1:4">
      <c r="A269" s="31" t="s">
        <v>274</v>
      </c>
      <c r="B269" s="6" t="s">
        <v>273</v>
      </c>
      <c r="C269" s="8">
        <v>0</v>
      </c>
      <c r="D269">
        <v>5</v>
      </c>
    </row>
    <row r="270" spans="1:4">
      <c r="A270" s="31" t="s">
        <v>274</v>
      </c>
      <c r="B270" s="6" t="s">
        <v>132</v>
      </c>
      <c r="C270" s="8">
        <v>0</v>
      </c>
      <c r="D270">
        <v>6</v>
      </c>
    </row>
    <row r="271" spans="1:4">
      <c r="A271" s="31" t="s">
        <v>274</v>
      </c>
      <c r="B271" s="6" t="s">
        <v>261</v>
      </c>
      <c r="C271" s="8">
        <v>0</v>
      </c>
      <c r="D271">
        <v>7</v>
      </c>
    </row>
    <row r="272" spans="1:4">
      <c r="A272" s="31" t="s">
        <v>274</v>
      </c>
      <c r="B272" s="6" t="s">
        <v>262</v>
      </c>
      <c r="C272" s="8">
        <v>0</v>
      </c>
      <c r="D272">
        <v>8</v>
      </c>
    </row>
    <row r="273" spans="1:4">
      <c r="A273" s="31" t="s">
        <v>275</v>
      </c>
      <c r="B273" s="6" t="s">
        <v>112</v>
      </c>
      <c r="C273" s="8">
        <v>0</v>
      </c>
      <c r="D273">
        <v>1</v>
      </c>
    </row>
    <row r="274" spans="1:4">
      <c r="A274" s="31" t="s">
        <v>275</v>
      </c>
      <c r="B274" s="6" t="s">
        <v>267</v>
      </c>
      <c r="C274" s="8">
        <v>0</v>
      </c>
      <c r="D274">
        <v>2</v>
      </c>
    </row>
    <row r="275" spans="1:4">
      <c r="A275" s="31" t="s">
        <v>275</v>
      </c>
      <c r="B275" s="6" t="s">
        <v>268</v>
      </c>
      <c r="C275" s="8">
        <v>0</v>
      </c>
      <c r="D275">
        <v>3</v>
      </c>
    </row>
    <row r="276" spans="1:4">
      <c r="A276" s="31" t="s">
        <v>275</v>
      </c>
      <c r="B276" s="6" t="s">
        <v>269</v>
      </c>
      <c r="C276" s="8">
        <v>0</v>
      </c>
      <c r="D276">
        <v>4</v>
      </c>
    </row>
    <row r="277" spans="1:4">
      <c r="A277" s="31" t="s">
        <v>275</v>
      </c>
      <c r="B277" s="6" t="s">
        <v>270</v>
      </c>
      <c r="C277" s="8">
        <v>0</v>
      </c>
      <c r="D277">
        <v>5</v>
      </c>
    </row>
    <row r="278" spans="1:4">
      <c r="A278" s="31" t="s">
        <v>275</v>
      </c>
      <c r="B278" s="6" t="s">
        <v>271</v>
      </c>
      <c r="C278" s="8">
        <v>0</v>
      </c>
      <c r="D278">
        <v>6</v>
      </c>
    </row>
    <row r="279" spans="1:4">
      <c r="A279" s="31" t="s">
        <v>275</v>
      </c>
      <c r="B279" s="6" t="s">
        <v>272</v>
      </c>
      <c r="C279" s="8">
        <v>0</v>
      </c>
      <c r="D279">
        <v>7</v>
      </c>
    </row>
    <row r="280" spans="1:4">
      <c r="A280" s="31" t="s">
        <v>275</v>
      </c>
      <c r="B280" s="6" t="s">
        <v>273</v>
      </c>
      <c r="C280" s="8">
        <v>0</v>
      </c>
      <c r="D280">
        <v>8</v>
      </c>
    </row>
    <row r="281" spans="1:4">
      <c r="A281" s="31" t="s">
        <v>275</v>
      </c>
      <c r="B281" s="6" t="s">
        <v>132</v>
      </c>
      <c r="C281" s="8">
        <v>5</v>
      </c>
      <c r="D281">
        <v>9</v>
      </c>
    </row>
    <row r="282" spans="1:4">
      <c r="A282" s="31" t="s">
        <v>275</v>
      </c>
      <c r="B282" s="6" t="s">
        <v>261</v>
      </c>
      <c r="C282" s="8">
        <v>0</v>
      </c>
      <c r="D282">
        <v>10</v>
      </c>
    </row>
    <row r="283" spans="1:4">
      <c r="A283" s="31" t="s">
        <v>275</v>
      </c>
      <c r="B283" s="6" t="s">
        <v>262</v>
      </c>
      <c r="C283" s="8">
        <v>0</v>
      </c>
      <c r="D283">
        <v>11</v>
      </c>
    </row>
    <row r="284" spans="1:4">
      <c r="A284" s="31" t="s">
        <v>276</v>
      </c>
      <c r="B284" s="6" t="s">
        <v>269</v>
      </c>
      <c r="C284" s="8">
        <v>0</v>
      </c>
      <c r="D284">
        <v>1</v>
      </c>
    </row>
    <row r="285" spans="1:4">
      <c r="A285" s="31" t="s">
        <v>276</v>
      </c>
      <c r="B285" s="6" t="s">
        <v>270</v>
      </c>
      <c r="C285" s="8">
        <v>0</v>
      </c>
      <c r="D285">
        <v>2</v>
      </c>
    </row>
    <row r="286" spans="1:4">
      <c r="A286" s="31" t="s">
        <v>276</v>
      </c>
      <c r="B286" s="6" t="s">
        <v>271</v>
      </c>
      <c r="C286" s="8">
        <v>0</v>
      </c>
      <c r="D286">
        <v>3</v>
      </c>
    </row>
    <row r="287" spans="1:4">
      <c r="A287" s="31" t="s">
        <v>276</v>
      </c>
      <c r="B287" s="6" t="s">
        <v>272</v>
      </c>
      <c r="C287" s="8">
        <v>0</v>
      </c>
      <c r="D287">
        <v>4</v>
      </c>
    </row>
    <row r="288" spans="1:4">
      <c r="A288" s="31" t="s">
        <v>276</v>
      </c>
      <c r="B288" s="6" t="s">
        <v>132</v>
      </c>
      <c r="C288" s="8">
        <v>0</v>
      </c>
      <c r="D288">
        <v>5</v>
      </c>
    </row>
    <row r="289" spans="1:4">
      <c r="A289" s="31" t="s">
        <v>276</v>
      </c>
      <c r="B289" s="6" t="s">
        <v>261</v>
      </c>
      <c r="C289" s="8">
        <v>0</v>
      </c>
      <c r="D289">
        <v>6</v>
      </c>
    </row>
    <row r="290" spans="1:4">
      <c r="A290" s="31" t="s">
        <v>276</v>
      </c>
      <c r="B290" s="6" t="s">
        <v>262</v>
      </c>
      <c r="C290" s="8">
        <v>0</v>
      </c>
      <c r="D290">
        <v>7</v>
      </c>
    </row>
    <row r="291" spans="1:4">
      <c r="A291" s="31" t="s">
        <v>277</v>
      </c>
      <c r="B291" s="6" t="s">
        <v>132</v>
      </c>
      <c r="C291" s="8">
        <v>5</v>
      </c>
      <c r="D291">
        <v>1</v>
      </c>
    </row>
    <row r="292" spans="1:4">
      <c r="A292" s="31" t="s">
        <v>277</v>
      </c>
      <c r="B292" s="6" t="s">
        <v>261</v>
      </c>
      <c r="C292" s="8">
        <v>8</v>
      </c>
      <c r="D292">
        <v>2</v>
      </c>
    </row>
    <row r="293" spans="1:4">
      <c r="A293" s="31" t="s">
        <v>277</v>
      </c>
      <c r="B293" s="6" t="s">
        <v>262</v>
      </c>
      <c r="C293" s="8">
        <v>0</v>
      </c>
      <c r="D293">
        <v>3</v>
      </c>
    </row>
    <row r="294" spans="1:4">
      <c r="A294" s="31" t="s">
        <v>278</v>
      </c>
      <c r="B294" s="6" t="s">
        <v>279</v>
      </c>
      <c r="C294" s="8">
        <v>0</v>
      </c>
      <c r="D294">
        <v>1</v>
      </c>
    </row>
    <row r="295" spans="1:4">
      <c r="A295" s="31" t="s">
        <v>278</v>
      </c>
      <c r="B295" s="6" t="s">
        <v>280</v>
      </c>
      <c r="C295" s="8">
        <v>0</v>
      </c>
      <c r="D295">
        <v>2</v>
      </c>
    </row>
    <row r="296" spans="1:4">
      <c r="A296" s="31" t="s">
        <v>278</v>
      </c>
      <c r="B296" s="6" t="s">
        <v>281</v>
      </c>
      <c r="C296" s="8">
        <v>0</v>
      </c>
      <c r="D296">
        <v>3</v>
      </c>
    </row>
    <row r="297" spans="1:4">
      <c r="A297" s="31" t="s">
        <v>278</v>
      </c>
      <c r="B297" s="6" t="s">
        <v>282</v>
      </c>
      <c r="C297" s="8">
        <v>0</v>
      </c>
      <c r="D297">
        <v>4</v>
      </c>
    </row>
    <row r="298" spans="1:4">
      <c r="A298" s="31" t="s">
        <v>278</v>
      </c>
      <c r="B298" s="6" t="s">
        <v>283</v>
      </c>
      <c r="C298" s="8">
        <v>0</v>
      </c>
      <c r="D298">
        <v>5</v>
      </c>
    </row>
    <row r="299" spans="1:4">
      <c r="A299" s="31" t="s">
        <v>278</v>
      </c>
      <c r="B299" s="6" t="s">
        <v>284</v>
      </c>
      <c r="C299" s="8">
        <v>0</v>
      </c>
      <c r="D299">
        <v>6</v>
      </c>
    </row>
    <row r="300" spans="1:4">
      <c r="A300" s="31" t="s">
        <v>278</v>
      </c>
      <c r="B300" s="6" t="s">
        <v>160</v>
      </c>
      <c r="C300" s="8">
        <v>0</v>
      </c>
      <c r="D300">
        <v>7</v>
      </c>
    </row>
    <row r="301" spans="1:4">
      <c r="A301" s="31" t="s">
        <v>278</v>
      </c>
      <c r="B301" s="6" t="s">
        <v>264</v>
      </c>
      <c r="C301" s="8">
        <v>0</v>
      </c>
      <c r="D301">
        <v>8</v>
      </c>
    </row>
    <row r="302" spans="1:4">
      <c r="A302" s="31" t="s">
        <v>278</v>
      </c>
      <c r="B302" s="6" t="s">
        <v>265</v>
      </c>
      <c r="C302" s="8">
        <v>0</v>
      </c>
      <c r="D302">
        <v>9</v>
      </c>
    </row>
    <row r="303" spans="1:4">
      <c r="A303" s="31" t="s">
        <v>278</v>
      </c>
      <c r="B303" s="6" t="s">
        <v>266</v>
      </c>
      <c r="C303" s="8">
        <v>0</v>
      </c>
      <c r="D303">
        <v>10</v>
      </c>
    </row>
    <row r="304" spans="1:4">
      <c r="A304" s="31" t="s">
        <v>278</v>
      </c>
      <c r="B304" s="6" t="s">
        <v>112</v>
      </c>
      <c r="C304" s="8">
        <v>0</v>
      </c>
      <c r="D304">
        <v>11</v>
      </c>
    </row>
    <row r="305" spans="1:4">
      <c r="A305" s="31" t="s">
        <v>278</v>
      </c>
      <c r="B305" s="6" t="s">
        <v>267</v>
      </c>
      <c r="C305" s="8">
        <v>0</v>
      </c>
      <c r="D305">
        <v>12</v>
      </c>
    </row>
    <row r="306" spans="1:4">
      <c r="A306" s="31" t="s">
        <v>278</v>
      </c>
      <c r="B306" s="6" t="s">
        <v>268</v>
      </c>
      <c r="C306" s="8">
        <v>0</v>
      </c>
      <c r="D306">
        <v>13</v>
      </c>
    </row>
    <row r="307" spans="1:4">
      <c r="A307" s="31" t="s">
        <v>278</v>
      </c>
      <c r="B307" s="6" t="s">
        <v>269</v>
      </c>
      <c r="C307" s="8">
        <v>0</v>
      </c>
      <c r="D307">
        <v>14</v>
      </c>
    </row>
    <row r="308" spans="1:4">
      <c r="A308" s="31" t="s">
        <v>278</v>
      </c>
      <c r="B308" s="6" t="s">
        <v>270</v>
      </c>
      <c r="C308" s="8">
        <v>0</v>
      </c>
      <c r="D308">
        <v>15</v>
      </c>
    </row>
    <row r="309" spans="1:4">
      <c r="A309" s="31" t="s">
        <v>278</v>
      </c>
      <c r="B309" s="6" t="s">
        <v>271</v>
      </c>
      <c r="C309" s="8">
        <v>0</v>
      </c>
      <c r="D309">
        <v>16</v>
      </c>
    </row>
    <row r="310" spans="1:4">
      <c r="A310" s="31" t="s">
        <v>278</v>
      </c>
      <c r="B310" s="6" t="s">
        <v>272</v>
      </c>
      <c r="C310" s="8">
        <v>0</v>
      </c>
      <c r="D310">
        <v>17</v>
      </c>
    </row>
    <row r="311" spans="1:4">
      <c r="A311" s="31" t="s">
        <v>278</v>
      </c>
      <c r="B311" s="6" t="s">
        <v>273</v>
      </c>
      <c r="C311" s="8">
        <v>0</v>
      </c>
      <c r="D311">
        <v>18</v>
      </c>
    </row>
    <row r="312" spans="1:4">
      <c r="A312" s="31" t="s">
        <v>278</v>
      </c>
      <c r="B312" s="6" t="s">
        <v>132</v>
      </c>
      <c r="C312" s="8">
        <v>0</v>
      </c>
      <c r="D312">
        <v>19</v>
      </c>
    </row>
    <row r="313" spans="1:4">
      <c r="A313" s="31" t="s">
        <v>278</v>
      </c>
      <c r="B313" s="6" t="s">
        <v>261</v>
      </c>
      <c r="C313" s="8">
        <v>0</v>
      </c>
      <c r="D313">
        <v>20</v>
      </c>
    </row>
    <row r="314" spans="1:4">
      <c r="A314" s="31" t="s">
        <v>278</v>
      </c>
      <c r="B314" s="6" t="s">
        <v>262</v>
      </c>
      <c r="C314" s="8">
        <v>0</v>
      </c>
      <c r="D314">
        <v>21</v>
      </c>
    </row>
    <row r="315" spans="1:4">
      <c r="A315" s="31" t="s">
        <v>285</v>
      </c>
      <c r="B315" s="6" t="s">
        <v>271</v>
      </c>
      <c r="C315" s="8">
        <v>0</v>
      </c>
      <c r="D315">
        <v>1</v>
      </c>
    </row>
    <row r="316" spans="1:4">
      <c r="A316" s="31" t="s">
        <v>285</v>
      </c>
      <c r="B316" s="6" t="s">
        <v>272</v>
      </c>
      <c r="C316" s="8">
        <v>0</v>
      </c>
      <c r="D316">
        <v>2</v>
      </c>
    </row>
    <row r="317" spans="1:4">
      <c r="A317" s="31" t="s">
        <v>285</v>
      </c>
      <c r="B317" s="6" t="s">
        <v>273</v>
      </c>
      <c r="C317" s="8">
        <v>0</v>
      </c>
      <c r="D317">
        <v>3</v>
      </c>
    </row>
    <row r="318" spans="1:4">
      <c r="A318" s="31" t="s">
        <v>285</v>
      </c>
      <c r="B318" s="6" t="s">
        <v>132</v>
      </c>
      <c r="C318" s="8">
        <v>0</v>
      </c>
      <c r="D318">
        <v>4</v>
      </c>
    </row>
    <row r="319" spans="1:4">
      <c r="A319" s="31" t="s">
        <v>285</v>
      </c>
      <c r="B319" s="6" t="s">
        <v>261</v>
      </c>
      <c r="C319" s="8">
        <v>0</v>
      </c>
      <c r="D319">
        <v>5</v>
      </c>
    </row>
    <row r="320" spans="1:4">
      <c r="A320" s="31" t="s">
        <v>285</v>
      </c>
      <c r="B320" s="6" t="s">
        <v>262</v>
      </c>
      <c r="C320" s="8">
        <v>0</v>
      </c>
      <c r="D320">
        <v>6</v>
      </c>
    </row>
    <row r="321" spans="1:4">
      <c r="A321" s="31" t="s">
        <v>286</v>
      </c>
      <c r="B321" s="6" t="s">
        <v>112</v>
      </c>
      <c r="C321" s="8">
        <v>0</v>
      </c>
      <c r="D321">
        <v>1</v>
      </c>
    </row>
    <row r="322" spans="1:4">
      <c r="A322" s="31" t="s">
        <v>286</v>
      </c>
      <c r="B322" s="6" t="s">
        <v>267</v>
      </c>
      <c r="C322" s="8">
        <v>0</v>
      </c>
      <c r="D322">
        <v>2</v>
      </c>
    </row>
    <row r="323" spans="1:4">
      <c r="A323" s="31" t="s">
        <v>286</v>
      </c>
      <c r="B323" s="6" t="s">
        <v>268</v>
      </c>
      <c r="C323" s="8">
        <v>0</v>
      </c>
      <c r="D323">
        <v>3</v>
      </c>
    </row>
    <row r="324" spans="1:4">
      <c r="A324" s="31" t="s">
        <v>286</v>
      </c>
      <c r="B324" s="6" t="s">
        <v>269</v>
      </c>
      <c r="C324" s="8">
        <v>0</v>
      </c>
      <c r="D324">
        <v>4</v>
      </c>
    </row>
    <row r="325" spans="1:4">
      <c r="A325" s="31" t="s">
        <v>286</v>
      </c>
      <c r="B325" s="6" t="s">
        <v>270</v>
      </c>
      <c r="C325" s="8">
        <v>5</v>
      </c>
      <c r="D325">
        <v>5</v>
      </c>
    </row>
    <row r="326" spans="1:4">
      <c r="A326" s="31" t="s">
        <v>286</v>
      </c>
      <c r="B326" s="6" t="s">
        <v>271</v>
      </c>
      <c r="C326" s="8">
        <v>0</v>
      </c>
      <c r="D326">
        <v>6</v>
      </c>
    </row>
    <row r="327" spans="1:4">
      <c r="A327" s="31" t="s">
        <v>286</v>
      </c>
      <c r="B327" s="6" t="s">
        <v>272</v>
      </c>
      <c r="C327" s="8">
        <v>0</v>
      </c>
      <c r="D327">
        <v>7</v>
      </c>
    </row>
    <row r="328" spans="1:4">
      <c r="A328" s="31" t="s">
        <v>286</v>
      </c>
      <c r="B328" s="6" t="s">
        <v>273</v>
      </c>
      <c r="C328" s="8">
        <v>0</v>
      </c>
      <c r="D328">
        <v>8</v>
      </c>
    </row>
    <row r="329" spans="1:4">
      <c r="A329" s="31" t="s">
        <v>286</v>
      </c>
      <c r="B329" s="6" t="s">
        <v>132</v>
      </c>
      <c r="C329" s="8">
        <v>0</v>
      </c>
      <c r="D329">
        <v>9</v>
      </c>
    </row>
    <row r="330" spans="1:4">
      <c r="A330" s="31" t="s">
        <v>286</v>
      </c>
      <c r="B330" s="6" t="s">
        <v>261</v>
      </c>
      <c r="C330" s="8">
        <v>0</v>
      </c>
      <c r="D330">
        <v>10</v>
      </c>
    </row>
    <row r="331" spans="1:4">
      <c r="A331" s="31" t="s">
        <v>286</v>
      </c>
      <c r="B331" s="6" t="s">
        <v>262</v>
      </c>
      <c r="C331" s="8">
        <v>0</v>
      </c>
      <c r="D331">
        <v>11</v>
      </c>
    </row>
    <row r="332" spans="1:4">
      <c r="A332" s="31" t="s">
        <v>287</v>
      </c>
      <c r="B332" s="6" t="s">
        <v>283</v>
      </c>
      <c r="C332" s="8">
        <v>0</v>
      </c>
      <c r="D332">
        <v>1</v>
      </c>
    </row>
    <row r="333" spans="1:4">
      <c r="A333" s="31" t="s">
        <v>287</v>
      </c>
      <c r="B333" s="6" t="s">
        <v>284</v>
      </c>
      <c r="C333" s="8">
        <v>0</v>
      </c>
      <c r="D333">
        <v>2</v>
      </c>
    </row>
    <row r="334" spans="1:4">
      <c r="A334" s="31" t="s">
        <v>287</v>
      </c>
      <c r="B334" s="6" t="s">
        <v>160</v>
      </c>
      <c r="C334" s="8">
        <v>0</v>
      </c>
      <c r="D334">
        <v>3</v>
      </c>
    </row>
    <row r="335" spans="1:4">
      <c r="A335" s="31" t="s">
        <v>287</v>
      </c>
      <c r="B335" s="6" t="s">
        <v>264</v>
      </c>
      <c r="C335" s="8">
        <v>0</v>
      </c>
      <c r="D335">
        <v>4</v>
      </c>
    </row>
    <row r="336" spans="1:4">
      <c r="A336" s="31" t="s">
        <v>287</v>
      </c>
      <c r="B336" s="6" t="s">
        <v>265</v>
      </c>
      <c r="C336" s="8">
        <v>0</v>
      </c>
      <c r="D336">
        <v>5</v>
      </c>
    </row>
    <row r="337" spans="1:4">
      <c r="A337" s="31" t="s">
        <v>287</v>
      </c>
      <c r="B337" s="6" t="s">
        <v>266</v>
      </c>
      <c r="C337" s="8">
        <v>0</v>
      </c>
      <c r="D337">
        <v>6</v>
      </c>
    </row>
    <row r="338" spans="1:4">
      <c r="A338" s="31" t="s">
        <v>287</v>
      </c>
      <c r="B338" s="6" t="s">
        <v>112</v>
      </c>
      <c r="C338" s="8">
        <v>0</v>
      </c>
      <c r="D338">
        <v>7</v>
      </c>
    </row>
    <row r="339" spans="1:4">
      <c r="A339" s="31" t="s">
        <v>287</v>
      </c>
      <c r="B339" s="6" t="s">
        <v>267</v>
      </c>
      <c r="C339" s="8">
        <v>0</v>
      </c>
      <c r="D339">
        <v>8</v>
      </c>
    </row>
    <row r="340" spans="1:4">
      <c r="A340" s="31" t="s">
        <v>287</v>
      </c>
      <c r="B340" s="6" t="s">
        <v>268</v>
      </c>
      <c r="C340" s="8">
        <v>0</v>
      </c>
      <c r="D340">
        <v>9</v>
      </c>
    </row>
    <row r="341" spans="1:4">
      <c r="A341" s="31" t="s">
        <v>287</v>
      </c>
      <c r="B341" s="6" t="s">
        <v>269</v>
      </c>
      <c r="C341" s="8">
        <v>0</v>
      </c>
      <c r="D341">
        <v>10</v>
      </c>
    </row>
    <row r="342" spans="1:4">
      <c r="A342" s="31" t="s">
        <v>287</v>
      </c>
      <c r="B342" s="6" t="s">
        <v>270</v>
      </c>
      <c r="C342" s="8">
        <v>0</v>
      </c>
      <c r="D342">
        <v>11</v>
      </c>
    </row>
    <row r="343" spans="1:4">
      <c r="A343" s="31" t="s">
        <v>287</v>
      </c>
      <c r="B343" s="6" t="s">
        <v>271</v>
      </c>
      <c r="C343" s="8">
        <v>0</v>
      </c>
      <c r="D343">
        <v>12</v>
      </c>
    </row>
    <row r="344" spans="1:4">
      <c r="A344" s="31" t="s">
        <v>287</v>
      </c>
      <c r="B344" s="6" t="s">
        <v>272</v>
      </c>
      <c r="C344" s="8">
        <v>0</v>
      </c>
      <c r="D344">
        <v>13</v>
      </c>
    </row>
    <row r="345" spans="1:4">
      <c r="A345" s="31" t="s">
        <v>287</v>
      </c>
      <c r="B345" s="6" t="s">
        <v>273</v>
      </c>
      <c r="C345" s="8">
        <v>0</v>
      </c>
      <c r="D345">
        <v>14</v>
      </c>
    </row>
    <row r="346" spans="1:4">
      <c r="A346" s="31" t="s">
        <v>287</v>
      </c>
      <c r="B346" s="6" t="s">
        <v>132</v>
      </c>
      <c r="C346" s="8">
        <v>0</v>
      </c>
      <c r="D346">
        <v>15</v>
      </c>
    </row>
    <row r="347" spans="1:4">
      <c r="A347" s="31" t="s">
        <v>287</v>
      </c>
      <c r="B347" s="6" t="s">
        <v>261</v>
      </c>
      <c r="C347" s="8">
        <v>0</v>
      </c>
      <c r="D347">
        <v>16</v>
      </c>
    </row>
    <row r="348" spans="1:4">
      <c r="A348" s="31" t="s">
        <v>287</v>
      </c>
      <c r="B348" s="6" t="s">
        <v>262</v>
      </c>
      <c r="C348" s="8">
        <v>0</v>
      </c>
      <c r="D348">
        <v>17</v>
      </c>
    </row>
    <row r="349" spans="1:4">
      <c r="A349" s="31" t="s">
        <v>288</v>
      </c>
      <c r="B349" s="6" t="s">
        <v>280</v>
      </c>
      <c r="C349" s="8">
        <v>0</v>
      </c>
      <c r="D349">
        <v>1</v>
      </c>
    </row>
    <row r="350" spans="1:4">
      <c r="A350" s="31" t="s">
        <v>288</v>
      </c>
      <c r="B350" s="6" t="s">
        <v>289</v>
      </c>
      <c r="C350" s="8">
        <v>0</v>
      </c>
      <c r="D350">
        <v>2</v>
      </c>
    </row>
    <row r="351" spans="1:4">
      <c r="A351" s="31" t="s">
        <v>288</v>
      </c>
      <c r="B351" s="6" t="s">
        <v>283</v>
      </c>
      <c r="C351" s="8">
        <v>0</v>
      </c>
      <c r="D351">
        <v>3</v>
      </c>
    </row>
    <row r="352" spans="1:4">
      <c r="A352" s="31" t="s">
        <v>288</v>
      </c>
      <c r="B352" s="6" t="s">
        <v>160</v>
      </c>
      <c r="C352" s="8">
        <v>0</v>
      </c>
      <c r="D352">
        <v>4</v>
      </c>
    </row>
    <row r="353" spans="1:4">
      <c r="A353" s="31" t="s">
        <v>288</v>
      </c>
      <c r="B353" s="6" t="s">
        <v>264</v>
      </c>
      <c r="C353" s="8">
        <v>0</v>
      </c>
      <c r="D353">
        <v>5</v>
      </c>
    </row>
    <row r="354" spans="1:4">
      <c r="A354" s="31" t="s">
        <v>288</v>
      </c>
      <c r="B354" s="6" t="s">
        <v>265</v>
      </c>
      <c r="C354" s="8">
        <v>0</v>
      </c>
      <c r="D354">
        <v>6</v>
      </c>
    </row>
    <row r="355" spans="1:4">
      <c r="A355" s="31" t="s">
        <v>288</v>
      </c>
      <c r="B355" s="6" t="s">
        <v>112</v>
      </c>
      <c r="C355" s="8">
        <v>0</v>
      </c>
      <c r="D355">
        <v>7</v>
      </c>
    </row>
    <row r="356" spans="1:4">
      <c r="A356" s="31" t="s">
        <v>288</v>
      </c>
      <c r="B356" s="6" t="s">
        <v>267</v>
      </c>
      <c r="C356" s="8">
        <v>0</v>
      </c>
      <c r="D356">
        <v>8</v>
      </c>
    </row>
    <row r="357" spans="1:4">
      <c r="A357" s="31" t="s">
        <v>288</v>
      </c>
      <c r="B357" s="6" t="s">
        <v>268</v>
      </c>
      <c r="C357" s="8">
        <v>0</v>
      </c>
      <c r="D357">
        <v>9</v>
      </c>
    </row>
    <row r="358" spans="1:4">
      <c r="A358" s="31" t="s">
        <v>288</v>
      </c>
      <c r="B358" s="6" t="s">
        <v>269</v>
      </c>
      <c r="C358" s="8">
        <v>6</v>
      </c>
      <c r="D358">
        <v>10</v>
      </c>
    </row>
    <row r="359" spans="1:4">
      <c r="A359" s="31" t="s">
        <v>288</v>
      </c>
      <c r="B359" s="6" t="s">
        <v>270</v>
      </c>
      <c r="C359" s="8">
        <v>0</v>
      </c>
      <c r="D359">
        <v>11</v>
      </c>
    </row>
    <row r="360" spans="1:4">
      <c r="A360" s="31" t="s">
        <v>288</v>
      </c>
      <c r="B360" s="6" t="s">
        <v>271</v>
      </c>
      <c r="C360" s="8">
        <v>11</v>
      </c>
      <c r="D360">
        <v>12</v>
      </c>
    </row>
    <row r="361" spans="1:4">
      <c r="A361" s="31" t="s">
        <v>288</v>
      </c>
      <c r="B361" s="6" t="s">
        <v>272</v>
      </c>
      <c r="C361" s="8">
        <v>0</v>
      </c>
      <c r="D361">
        <v>13</v>
      </c>
    </row>
    <row r="362" spans="1:4">
      <c r="A362" s="31" t="s">
        <v>288</v>
      </c>
      <c r="B362" s="6" t="s">
        <v>273</v>
      </c>
      <c r="C362" s="8">
        <v>0</v>
      </c>
      <c r="D362">
        <v>14</v>
      </c>
    </row>
    <row r="363" spans="1:4">
      <c r="A363" s="31" t="s">
        <v>288</v>
      </c>
      <c r="B363" s="6" t="s">
        <v>132</v>
      </c>
      <c r="C363" s="8">
        <v>0</v>
      </c>
      <c r="D363">
        <v>15</v>
      </c>
    </row>
    <row r="364" spans="1:4">
      <c r="A364" s="31" t="s">
        <v>288</v>
      </c>
      <c r="B364" s="6" t="s">
        <v>261</v>
      </c>
      <c r="C364" s="8">
        <v>0</v>
      </c>
      <c r="D364">
        <v>16</v>
      </c>
    </row>
    <row r="365" spans="1:4">
      <c r="A365" s="31" t="s">
        <v>288</v>
      </c>
      <c r="B365" s="6" t="s">
        <v>262</v>
      </c>
      <c r="C365" s="8">
        <v>0</v>
      </c>
      <c r="D365">
        <v>17</v>
      </c>
    </row>
    <row r="366" spans="1:4">
      <c r="A366" s="31" t="s">
        <v>290</v>
      </c>
      <c r="B366" s="6" t="s">
        <v>112</v>
      </c>
      <c r="C366" s="8">
        <v>0</v>
      </c>
      <c r="D366">
        <v>1</v>
      </c>
    </row>
    <row r="367" spans="1:4">
      <c r="A367" s="31" t="s">
        <v>290</v>
      </c>
      <c r="B367" s="6" t="s">
        <v>267</v>
      </c>
      <c r="C367" s="8">
        <v>0</v>
      </c>
      <c r="D367">
        <v>2</v>
      </c>
    </row>
    <row r="368" spans="1:4">
      <c r="A368" s="31" t="s">
        <v>290</v>
      </c>
      <c r="B368" s="6" t="s">
        <v>268</v>
      </c>
      <c r="C368" s="8">
        <v>0</v>
      </c>
      <c r="D368">
        <v>3</v>
      </c>
    </row>
    <row r="369" spans="1:4">
      <c r="A369" s="31" t="s">
        <v>290</v>
      </c>
      <c r="B369" s="6" t="s">
        <v>269</v>
      </c>
      <c r="C369" s="8">
        <v>0</v>
      </c>
      <c r="D369">
        <v>4</v>
      </c>
    </row>
    <row r="370" spans="1:4">
      <c r="A370" s="31" t="s">
        <v>290</v>
      </c>
      <c r="B370" s="6" t="s">
        <v>270</v>
      </c>
      <c r="C370" s="8">
        <v>0</v>
      </c>
      <c r="D370">
        <v>5</v>
      </c>
    </row>
    <row r="371" spans="1:4">
      <c r="A371" s="31" t="s">
        <v>290</v>
      </c>
      <c r="B371" s="6" t="s">
        <v>271</v>
      </c>
      <c r="C371" s="8">
        <v>0</v>
      </c>
      <c r="D371">
        <v>6</v>
      </c>
    </row>
    <row r="372" spans="1:4">
      <c r="A372" s="31" t="s">
        <v>290</v>
      </c>
      <c r="B372" s="6" t="s">
        <v>272</v>
      </c>
      <c r="C372" s="8">
        <v>0</v>
      </c>
      <c r="D372">
        <v>7</v>
      </c>
    </row>
    <row r="373" spans="1:4">
      <c r="A373" s="31" t="s">
        <v>290</v>
      </c>
      <c r="B373" s="6" t="s">
        <v>273</v>
      </c>
      <c r="C373" s="8">
        <v>0</v>
      </c>
      <c r="D373">
        <v>8</v>
      </c>
    </row>
    <row r="374" spans="1:4">
      <c r="A374" s="31" t="s">
        <v>290</v>
      </c>
      <c r="B374" s="6" t="s">
        <v>132</v>
      </c>
      <c r="C374" s="8">
        <v>0</v>
      </c>
      <c r="D374">
        <v>9</v>
      </c>
    </row>
    <row r="375" spans="1:4">
      <c r="A375" s="31" t="s">
        <v>290</v>
      </c>
      <c r="B375" s="6" t="s">
        <v>261</v>
      </c>
      <c r="C375" s="8">
        <v>0</v>
      </c>
      <c r="D375">
        <v>10</v>
      </c>
    </row>
    <row r="376" spans="1:4">
      <c r="A376" s="31" t="s">
        <v>290</v>
      </c>
      <c r="B376" s="6" t="s">
        <v>262</v>
      </c>
      <c r="C376" s="8">
        <v>0</v>
      </c>
      <c r="D376">
        <v>11</v>
      </c>
    </row>
    <row r="377" spans="1:4">
      <c r="A377" s="31" t="s">
        <v>291</v>
      </c>
      <c r="B377" s="6" t="s">
        <v>269</v>
      </c>
      <c r="C377" s="8">
        <v>0</v>
      </c>
      <c r="D377">
        <v>1</v>
      </c>
    </row>
    <row r="378" spans="1:4">
      <c r="A378" s="31" t="s">
        <v>291</v>
      </c>
      <c r="B378" s="6" t="s">
        <v>270</v>
      </c>
      <c r="C378" s="8">
        <v>0</v>
      </c>
      <c r="D378">
        <v>2</v>
      </c>
    </row>
    <row r="379" spans="1:4">
      <c r="A379" s="31" t="s">
        <v>291</v>
      </c>
      <c r="B379" s="6" t="s">
        <v>271</v>
      </c>
      <c r="C379" s="8">
        <v>0</v>
      </c>
      <c r="D379">
        <v>3</v>
      </c>
    </row>
    <row r="380" spans="1:4">
      <c r="A380" s="31" t="s">
        <v>291</v>
      </c>
      <c r="B380" s="6" t="s">
        <v>272</v>
      </c>
      <c r="C380" s="8">
        <v>0</v>
      </c>
      <c r="D380">
        <v>4</v>
      </c>
    </row>
    <row r="381" spans="1:4">
      <c r="A381" s="31" t="s">
        <v>291</v>
      </c>
      <c r="B381" s="6" t="s">
        <v>273</v>
      </c>
      <c r="C381" s="8">
        <v>0</v>
      </c>
      <c r="D381">
        <v>5</v>
      </c>
    </row>
    <row r="382" spans="1:4">
      <c r="A382" s="31" t="s">
        <v>291</v>
      </c>
      <c r="B382" s="6" t="s">
        <v>132</v>
      </c>
      <c r="C382" s="8">
        <v>0</v>
      </c>
      <c r="D382">
        <v>6</v>
      </c>
    </row>
    <row r="383" spans="1:4">
      <c r="A383" s="31" t="s">
        <v>291</v>
      </c>
      <c r="B383" s="6" t="s">
        <v>261</v>
      </c>
      <c r="C383" s="8">
        <v>0</v>
      </c>
      <c r="D383">
        <v>7</v>
      </c>
    </row>
    <row r="384" spans="1:4">
      <c r="A384" s="31" t="s">
        <v>291</v>
      </c>
      <c r="B384" s="6" t="s">
        <v>262</v>
      </c>
      <c r="C384" s="8">
        <v>0</v>
      </c>
      <c r="D384">
        <v>8</v>
      </c>
    </row>
    <row r="385" spans="1:4">
      <c r="A385" s="31" t="s">
        <v>292</v>
      </c>
      <c r="B385" s="6" t="s">
        <v>269</v>
      </c>
      <c r="C385" s="8">
        <v>0</v>
      </c>
      <c r="D385">
        <v>1</v>
      </c>
    </row>
    <row r="386" spans="1:4">
      <c r="A386" s="31" t="s">
        <v>292</v>
      </c>
      <c r="B386" s="6" t="s">
        <v>270</v>
      </c>
      <c r="C386" s="8">
        <v>0</v>
      </c>
      <c r="D386">
        <v>2</v>
      </c>
    </row>
    <row r="387" spans="1:4">
      <c r="A387" s="31" t="s">
        <v>292</v>
      </c>
      <c r="B387" s="6" t="s">
        <v>271</v>
      </c>
      <c r="C387" s="8">
        <v>0</v>
      </c>
      <c r="D387">
        <v>3</v>
      </c>
    </row>
    <row r="388" spans="1:4">
      <c r="A388" s="31" t="s">
        <v>292</v>
      </c>
      <c r="B388" s="6" t="s">
        <v>272</v>
      </c>
      <c r="C388" s="8">
        <v>0</v>
      </c>
      <c r="D388">
        <v>4</v>
      </c>
    </row>
    <row r="389" spans="1:4">
      <c r="A389" s="31" t="s">
        <v>292</v>
      </c>
      <c r="B389" s="6" t="s">
        <v>273</v>
      </c>
      <c r="C389" s="8">
        <v>0</v>
      </c>
      <c r="D389">
        <v>5</v>
      </c>
    </row>
    <row r="390" spans="1:4">
      <c r="A390" s="31" t="s">
        <v>292</v>
      </c>
      <c r="B390" s="6" t="s">
        <v>132</v>
      </c>
      <c r="C390" s="8">
        <v>0</v>
      </c>
      <c r="D390">
        <v>6</v>
      </c>
    </row>
    <row r="391" spans="1:4">
      <c r="A391" s="31" t="s">
        <v>292</v>
      </c>
      <c r="B391" s="6" t="s">
        <v>261</v>
      </c>
      <c r="C391" s="8">
        <v>0</v>
      </c>
      <c r="D391">
        <v>7</v>
      </c>
    </row>
    <row r="392" spans="1:4">
      <c r="A392" s="31" t="s">
        <v>292</v>
      </c>
      <c r="B392" s="6" t="s">
        <v>262</v>
      </c>
      <c r="C392" s="8">
        <v>0</v>
      </c>
      <c r="D392">
        <v>8</v>
      </c>
    </row>
    <row r="393" spans="1:4">
      <c r="A393" s="31" t="s">
        <v>293</v>
      </c>
      <c r="B393" s="6" t="s">
        <v>261</v>
      </c>
      <c r="C393" s="8">
        <v>0</v>
      </c>
      <c r="D393">
        <v>1</v>
      </c>
    </row>
    <row r="394" spans="1:4">
      <c r="A394" s="31" t="s">
        <v>293</v>
      </c>
      <c r="B394" s="6" t="s">
        <v>262</v>
      </c>
      <c r="C394" s="8">
        <v>0</v>
      </c>
      <c r="D394">
        <v>2</v>
      </c>
    </row>
    <row r="395" spans="1:4">
      <c r="A395" s="31" t="s">
        <v>294</v>
      </c>
      <c r="B395" s="6" t="s">
        <v>269</v>
      </c>
      <c r="C395" s="8">
        <v>0</v>
      </c>
      <c r="D395">
        <v>1</v>
      </c>
    </row>
    <row r="396" spans="1:4">
      <c r="A396" s="31" t="s">
        <v>294</v>
      </c>
      <c r="B396" s="6" t="s">
        <v>270</v>
      </c>
      <c r="C396" s="8">
        <v>0</v>
      </c>
      <c r="D396">
        <v>2</v>
      </c>
    </row>
    <row r="397" spans="1:4">
      <c r="A397" s="31" t="s">
        <v>294</v>
      </c>
      <c r="B397" s="6" t="s">
        <v>271</v>
      </c>
      <c r="C397" s="8">
        <v>0</v>
      </c>
      <c r="D397">
        <v>3</v>
      </c>
    </row>
    <row r="398" spans="1:4">
      <c r="A398" s="31" t="s">
        <v>294</v>
      </c>
      <c r="B398" s="6" t="s">
        <v>272</v>
      </c>
      <c r="C398" s="8">
        <v>0</v>
      </c>
      <c r="D398">
        <v>4</v>
      </c>
    </row>
    <row r="399" spans="1:4">
      <c r="A399" s="31" t="s">
        <v>295</v>
      </c>
      <c r="B399" s="6" t="s">
        <v>296</v>
      </c>
      <c r="C399" s="8">
        <v>0</v>
      </c>
      <c r="D399">
        <v>1</v>
      </c>
    </row>
    <row r="400" spans="1:4">
      <c r="A400" s="31" t="s">
        <v>297</v>
      </c>
      <c r="B400" s="6" t="s">
        <v>279</v>
      </c>
      <c r="C400" s="8">
        <v>0</v>
      </c>
      <c r="D400">
        <v>1</v>
      </c>
    </row>
    <row r="401" spans="1:4">
      <c r="A401" s="31" t="s">
        <v>297</v>
      </c>
      <c r="B401" s="6" t="s">
        <v>280</v>
      </c>
      <c r="C401" s="8">
        <v>0</v>
      </c>
      <c r="D401">
        <v>2</v>
      </c>
    </row>
    <row r="402" spans="1:4">
      <c r="A402" s="31" t="s">
        <v>297</v>
      </c>
      <c r="B402" s="6" t="s">
        <v>281</v>
      </c>
      <c r="C402" s="8">
        <v>0</v>
      </c>
      <c r="D402">
        <v>3</v>
      </c>
    </row>
    <row r="403" spans="1:4">
      <c r="A403" s="31" t="s">
        <v>297</v>
      </c>
      <c r="B403" s="6" t="s">
        <v>282</v>
      </c>
      <c r="C403" s="8">
        <v>2</v>
      </c>
      <c r="D403">
        <v>4</v>
      </c>
    </row>
    <row r="404" spans="1:4">
      <c r="A404" s="31" t="s">
        <v>297</v>
      </c>
      <c r="B404" s="6" t="s">
        <v>283</v>
      </c>
      <c r="C404" s="8">
        <v>0</v>
      </c>
      <c r="D404">
        <v>5</v>
      </c>
    </row>
    <row r="405" spans="1:4">
      <c r="A405" s="31" t="s">
        <v>297</v>
      </c>
      <c r="B405" s="6" t="s">
        <v>160</v>
      </c>
      <c r="C405" s="8">
        <v>0</v>
      </c>
      <c r="D405">
        <v>6</v>
      </c>
    </row>
    <row r="406" spans="1:4">
      <c r="A406" s="31" t="s">
        <v>297</v>
      </c>
      <c r="B406" s="6" t="s">
        <v>264</v>
      </c>
      <c r="C406" s="8">
        <v>0</v>
      </c>
      <c r="D406">
        <v>7</v>
      </c>
    </row>
    <row r="407" spans="1:4">
      <c r="A407" s="31" t="s">
        <v>297</v>
      </c>
      <c r="B407" s="6" t="s">
        <v>265</v>
      </c>
      <c r="C407" s="8">
        <v>0</v>
      </c>
      <c r="D407">
        <v>8</v>
      </c>
    </row>
    <row r="408" spans="1:4">
      <c r="A408" s="31" t="s">
        <v>297</v>
      </c>
      <c r="B408" s="6" t="s">
        <v>266</v>
      </c>
      <c r="C408" s="8">
        <v>0</v>
      </c>
      <c r="D408">
        <v>9</v>
      </c>
    </row>
    <row r="409" spans="1:4">
      <c r="A409" s="31" t="s">
        <v>297</v>
      </c>
      <c r="B409" s="6" t="s">
        <v>112</v>
      </c>
      <c r="C409" s="8">
        <v>0</v>
      </c>
      <c r="D409">
        <v>10</v>
      </c>
    </row>
    <row r="410" spans="1:4">
      <c r="A410" s="31" t="s">
        <v>297</v>
      </c>
      <c r="B410" s="6" t="s">
        <v>267</v>
      </c>
      <c r="C410" s="8">
        <v>0</v>
      </c>
      <c r="D410">
        <v>11</v>
      </c>
    </row>
    <row r="411" spans="1:4">
      <c r="A411" s="31" t="s">
        <v>297</v>
      </c>
      <c r="B411" s="6" t="s">
        <v>268</v>
      </c>
      <c r="C411" s="8">
        <v>9</v>
      </c>
      <c r="D411">
        <v>12</v>
      </c>
    </row>
    <row r="412" spans="1:4">
      <c r="A412" s="31" t="s">
        <v>297</v>
      </c>
      <c r="B412" s="6" t="s">
        <v>269</v>
      </c>
      <c r="C412" s="8">
        <v>0</v>
      </c>
      <c r="D412">
        <v>13</v>
      </c>
    </row>
    <row r="413" spans="1:4">
      <c r="A413" s="31" t="s">
        <v>297</v>
      </c>
      <c r="B413" s="6" t="s">
        <v>270</v>
      </c>
      <c r="C413" s="8">
        <v>0</v>
      </c>
      <c r="D413">
        <v>14</v>
      </c>
    </row>
    <row r="414" spans="1:4">
      <c r="A414" s="31" t="s">
        <v>297</v>
      </c>
      <c r="B414" s="6" t="s">
        <v>271</v>
      </c>
      <c r="C414" s="8">
        <v>0</v>
      </c>
      <c r="D414">
        <v>15</v>
      </c>
    </row>
    <row r="415" spans="1:4">
      <c r="A415" s="31" t="s">
        <v>297</v>
      </c>
      <c r="B415" s="6" t="s">
        <v>272</v>
      </c>
      <c r="C415" s="8">
        <v>0</v>
      </c>
      <c r="D415">
        <v>16</v>
      </c>
    </row>
    <row r="416" spans="1:4">
      <c r="A416" s="31" t="s">
        <v>297</v>
      </c>
      <c r="B416" s="6" t="s">
        <v>273</v>
      </c>
      <c r="C416" s="8">
        <v>0</v>
      </c>
      <c r="D416">
        <v>17</v>
      </c>
    </row>
    <row r="417" spans="1:4">
      <c r="A417" s="31" t="s">
        <v>297</v>
      </c>
      <c r="B417" s="6" t="s">
        <v>132</v>
      </c>
      <c r="C417" s="8">
        <v>0</v>
      </c>
      <c r="D417">
        <v>18</v>
      </c>
    </row>
    <row r="418" spans="1:4">
      <c r="A418" s="31" t="s">
        <v>297</v>
      </c>
      <c r="B418" s="6" t="s">
        <v>261</v>
      </c>
      <c r="C418" s="8">
        <v>0</v>
      </c>
      <c r="D418">
        <v>19</v>
      </c>
    </row>
    <row r="419" spans="1:4">
      <c r="A419" s="31" t="s">
        <v>297</v>
      </c>
      <c r="B419" s="6" t="s">
        <v>262</v>
      </c>
      <c r="C419" s="8">
        <v>0</v>
      </c>
      <c r="D419">
        <v>20</v>
      </c>
    </row>
    <row r="420" spans="1:4">
      <c r="A420" s="31" t="s">
        <v>298</v>
      </c>
      <c r="B420" s="6" t="s">
        <v>273</v>
      </c>
      <c r="C420" s="8">
        <v>0</v>
      </c>
      <c r="D420">
        <v>1</v>
      </c>
    </row>
    <row r="421" spans="1:4">
      <c r="A421" s="31" t="s">
        <v>298</v>
      </c>
      <c r="B421" s="6" t="s">
        <v>132</v>
      </c>
      <c r="C421" s="8">
        <v>0</v>
      </c>
      <c r="D421">
        <v>2</v>
      </c>
    </row>
    <row r="422" spans="1:4">
      <c r="A422" s="31" t="s">
        <v>298</v>
      </c>
      <c r="B422" s="6" t="s">
        <v>261</v>
      </c>
      <c r="C422" s="8">
        <v>0</v>
      </c>
      <c r="D422">
        <v>3</v>
      </c>
    </row>
    <row r="423" spans="1:4">
      <c r="A423" s="31" t="s">
        <v>298</v>
      </c>
      <c r="B423" s="6" t="s">
        <v>262</v>
      </c>
      <c r="C423" s="8">
        <v>0</v>
      </c>
      <c r="D423">
        <v>4</v>
      </c>
    </row>
    <row r="424" spans="1:4">
      <c r="A424" s="31" t="s">
        <v>299</v>
      </c>
      <c r="B424" s="6" t="s">
        <v>279</v>
      </c>
      <c r="C424" s="8">
        <v>2</v>
      </c>
      <c r="D424">
        <v>1</v>
      </c>
    </row>
    <row r="425" spans="1:4">
      <c r="A425" s="31" t="s">
        <v>299</v>
      </c>
      <c r="B425" s="6" t="s">
        <v>280</v>
      </c>
      <c r="C425" s="8">
        <v>0</v>
      </c>
      <c r="D425">
        <v>2</v>
      </c>
    </row>
    <row r="426" spans="1:4">
      <c r="A426" s="31" t="s">
        <v>299</v>
      </c>
      <c r="B426" s="6" t="s">
        <v>281</v>
      </c>
      <c r="C426" s="8">
        <v>0</v>
      </c>
      <c r="D426">
        <v>3</v>
      </c>
    </row>
    <row r="427" spans="1:4">
      <c r="A427" s="31" t="s">
        <v>299</v>
      </c>
      <c r="B427" s="6" t="s">
        <v>282</v>
      </c>
      <c r="C427" s="8">
        <v>2</v>
      </c>
      <c r="D427">
        <v>4</v>
      </c>
    </row>
    <row r="428" spans="1:4">
      <c r="A428" s="31" t="s">
        <v>299</v>
      </c>
      <c r="B428" s="6" t="s">
        <v>283</v>
      </c>
      <c r="C428" s="8">
        <v>0</v>
      </c>
      <c r="D428">
        <v>5</v>
      </c>
    </row>
    <row r="429" spans="1:4">
      <c r="A429" s="31" t="s">
        <v>299</v>
      </c>
      <c r="B429" s="6" t="s">
        <v>160</v>
      </c>
      <c r="C429" s="8">
        <v>0</v>
      </c>
      <c r="D429">
        <v>6</v>
      </c>
    </row>
    <row r="430" spans="1:4">
      <c r="A430" s="31" t="s">
        <v>299</v>
      </c>
      <c r="B430" s="6" t="s">
        <v>264</v>
      </c>
      <c r="C430" s="8">
        <v>0</v>
      </c>
      <c r="D430">
        <v>7</v>
      </c>
    </row>
    <row r="431" spans="1:4">
      <c r="A431" s="31" t="s">
        <v>299</v>
      </c>
      <c r="B431" s="6" t="s">
        <v>265</v>
      </c>
      <c r="C431" s="8">
        <v>0</v>
      </c>
      <c r="D431">
        <v>8</v>
      </c>
    </row>
    <row r="432" spans="1:4">
      <c r="A432" s="31" t="s">
        <v>300</v>
      </c>
      <c r="B432" s="6" t="s">
        <v>269</v>
      </c>
      <c r="C432" s="8">
        <v>0</v>
      </c>
      <c r="D432">
        <v>1</v>
      </c>
    </row>
    <row r="433" spans="1:4">
      <c r="A433" s="31" t="s">
        <v>300</v>
      </c>
      <c r="B433" s="6" t="s">
        <v>270</v>
      </c>
      <c r="C433" s="8">
        <v>0</v>
      </c>
      <c r="D433">
        <v>2</v>
      </c>
    </row>
    <row r="434" spans="1:4">
      <c r="A434" s="31" t="s">
        <v>300</v>
      </c>
      <c r="B434" s="6" t="s">
        <v>271</v>
      </c>
      <c r="C434" s="8">
        <v>0</v>
      </c>
      <c r="D434">
        <v>3</v>
      </c>
    </row>
    <row r="435" spans="1:4">
      <c r="A435" s="31" t="s">
        <v>300</v>
      </c>
      <c r="B435" s="6" t="s">
        <v>272</v>
      </c>
      <c r="C435" s="8">
        <v>0</v>
      </c>
      <c r="D435">
        <v>4</v>
      </c>
    </row>
    <row r="436" spans="1:4">
      <c r="A436" s="31" t="s">
        <v>300</v>
      </c>
      <c r="B436" s="6" t="s">
        <v>273</v>
      </c>
      <c r="C436" s="8">
        <v>0</v>
      </c>
      <c r="D436">
        <v>5</v>
      </c>
    </row>
    <row r="437" spans="1:4">
      <c r="A437" s="31" t="s">
        <v>300</v>
      </c>
      <c r="B437" s="6" t="s">
        <v>132</v>
      </c>
      <c r="C437" s="8">
        <v>0</v>
      </c>
      <c r="D437">
        <v>6</v>
      </c>
    </row>
    <row r="438" spans="1:4">
      <c r="A438" s="31" t="s">
        <v>300</v>
      </c>
      <c r="B438" s="6" t="s">
        <v>261</v>
      </c>
      <c r="C438" s="8">
        <v>0</v>
      </c>
      <c r="D438">
        <v>7</v>
      </c>
    </row>
    <row r="439" spans="1:4">
      <c r="A439" s="31" t="s">
        <v>300</v>
      </c>
      <c r="B439" s="6" t="s">
        <v>262</v>
      </c>
      <c r="C439" s="8">
        <v>0</v>
      </c>
      <c r="D439">
        <v>8</v>
      </c>
    </row>
    <row r="440" spans="1:4">
      <c r="A440" s="31" t="s">
        <v>301</v>
      </c>
      <c r="B440" s="6" t="s">
        <v>279</v>
      </c>
      <c r="C440" s="8">
        <v>0</v>
      </c>
      <c r="D440">
        <v>1</v>
      </c>
    </row>
    <row r="441" spans="1:4">
      <c r="A441" s="31" t="s">
        <v>301</v>
      </c>
      <c r="B441" s="6" t="s">
        <v>280</v>
      </c>
      <c r="C441" s="8">
        <v>0</v>
      </c>
      <c r="D441">
        <v>2</v>
      </c>
    </row>
    <row r="442" spans="1:4">
      <c r="A442" s="31" t="s">
        <v>301</v>
      </c>
      <c r="B442" s="6" t="s">
        <v>281</v>
      </c>
      <c r="C442" s="8">
        <v>0</v>
      </c>
      <c r="D442">
        <v>3</v>
      </c>
    </row>
    <row r="443" spans="1:4">
      <c r="A443" s="31" t="s">
        <v>301</v>
      </c>
      <c r="B443" s="6" t="s">
        <v>283</v>
      </c>
      <c r="C443" s="8">
        <v>0</v>
      </c>
      <c r="D443">
        <v>4</v>
      </c>
    </row>
    <row r="444" spans="1:4">
      <c r="A444" s="31" t="s">
        <v>301</v>
      </c>
      <c r="B444" s="6" t="s">
        <v>160</v>
      </c>
      <c r="C444" s="8">
        <v>0</v>
      </c>
      <c r="D444">
        <v>5</v>
      </c>
    </row>
    <row r="445" spans="1:4">
      <c r="A445" s="31" t="s">
        <v>301</v>
      </c>
      <c r="B445" s="6" t="s">
        <v>264</v>
      </c>
      <c r="C445" s="8">
        <v>0</v>
      </c>
      <c r="D445">
        <v>6</v>
      </c>
    </row>
    <row r="446" spans="1:4">
      <c r="A446" s="31" t="s">
        <v>301</v>
      </c>
      <c r="B446" s="6" t="s">
        <v>265</v>
      </c>
      <c r="C446" s="8">
        <v>0</v>
      </c>
      <c r="D446">
        <v>7</v>
      </c>
    </row>
    <row r="447" spans="1:4">
      <c r="A447" s="31" t="s">
        <v>301</v>
      </c>
      <c r="B447" s="6" t="s">
        <v>266</v>
      </c>
      <c r="C447" s="8">
        <v>0</v>
      </c>
      <c r="D447">
        <v>8</v>
      </c>
    </row>
    <row r="448" spans="1:4">
      <c r="A448" s="31" t="s">
        <v>301</v>
      </c>
      <c r="B448" s="6" t="s">
        <v>112</v>
      </c>
      <c r="C448" s="8">
        <v>0</v>
      </c>
      <c r="D448">
        <v>9</v>
      </c>
    </row>
    <row r="449" spans="1:4">
      <c r="A449" s="31" t="s">
        <v>301</v>
      </c>
      <c r="B449" s="6" t="s">
        <v>267</v>
      </c>
      <c r="C449" s="8">
        <v>0</v>
      </c>
      <c r="D449">
        <v>10</v>
      </c>
    </row>
    <row r="450" spans="1:4">
      <c r="A450" s="31" t="s">
        <v>301</v>
      </c>
      <c r="B450" s="6" t="s">
        <v>268</v>
      </c>
      <c r="C450" s="8">
        <v>0</v>
      </c>
      <c r="D450">
        <v>11</v>
      </c>
    </row>
    <row r="451" spans="1:4">
      <c r="A451" s="31" t="s">
        <v>301</v>
      </c>
      <c r="B451" s="6" t="s">
        <v>269</v>
      </c>
      <c r="C451" s="8">
        <v>0</v>
      </c>
      <c r="D451">
        <v>12</v>
      </c>
    </row>
    <row r="452" spans="1:4">
      <c r="A452" s="31" t="s">
        <v>301</v>
      </c>
      <c r="B452" s="6" t="s">
        <v>270</v>
      </c>
      <c r="C452" s="8">
        <v>0</v>
      </c>
      <c r="D452">
        <v>13</v>
      </c>
    </row>
    <row r="453" spans="1:4">
      <c r="A453" s="31" t="s">
        <v>301</v>
      </c>
      <c r="B453" s="6" t="s">
        <v>271</v>
      </c>
      <c r="C453" s="8">
        <v>0</v>
      </c>
      <c r="D453">
        <v>14</v>
      </c>
    </row>
    <row r="454" spans="1:4">
      <c r="A454" s="31" t="s">
        <v>301</v>
      </c>
      <c r="B454" s="6" t="s">
        <v>272</v>
      </c>
      <c r="C454" s="8">
        <v>0</v>
      </c>
      <c r="D454">
        <v>15</v>
      </c>
    </row>
    <row r="455" spans="1:4">
      <c r="A455" s="31" t="s">
        <v>301</v>
      </c>
      <c r="B455" s="6" t="s">
        <v>273</v>
      </c>
      <c r="C455" s="8">
        <v>0</v>
      </c>
      <c r="D455">
        <v>16</v>
      </c>
    </row>
    <row r="456" spans="1:4">
      <c r="A456" s="31" t="s">
        <v>301</v>
      </c>
      <c r="B456" s="6" t="s">
        <v>132</v>
      </c>
      <c r="C456" s="8">
        <v>0</v>
      </c>
      <c r="D456">
        <v>17</v>
      </c>
    </row>
    <row r="457" spans="1:4">
      <c r="A457" s="31" t="s">
        <v>301</v>
      </c>
      <c r="B457" s="6" t="s">
        <v>261</v>
      </c>
      <c r="C457" s="8">
        <v>0</v>
      </c>
      <c r="D457">
        <v>18</v>
      </c>
    </row>
    <row r="458" spans="1:4">
      <c r="A458" s="31" t="s">
        <v>301</v>
      </c>
      <c r="B458" s="6" t="s">
        <v>262</v>
      </c>
      <c r="C458" s="8">
        <v>0</v>
      </c>
      <c r="D458">
        <v>19</v>
      </c>
    </row>
    <row r="459" spans="1:4">
      <c r="A459" s="31" t="s">
        <v>302</v>
      </c>
      <c r="B459" s="6" t="s">
        <v>280</v>
      </c>
      <c r="C459" s="8">
        <v>0</v>
      </c>
      <c r="D459">
        <v>1</v>
      </c>
    </row>
    <row r="460" spans="1:4">
      <c r="A460" s="31" t="s">
        <v>302</v>
      </c>
      <c r="B460" s="6" t="s">
        <v>282</v>
      </c>
      <c r="C460" s="8">
        <v>0</v>
      </c>
      <c r="D460">
        <v>2</v>
      </c>
    </row>
    <row r="461" spans="1:4">
      <c r="A461" s="31" t="s">
        <v>302</v>
      </c>
      <c r="B461" s="6" t="s">
        <v>283</v>
      </c>
      <c r="C461" s="8">
        <v>0</v>
      </c>
      <c r="D461">
        <v>3</v>
      </c>
    </row>
    <row r="462" spans="1:4">
      <c r="A462" s="31" t="s">
        <v>302</v>
      </c>
      <c r="B462" s="6" t="s">
        <v>264</v>
      </c>
      <c r="C462" s="8">
        <v>0</v>
      </c>
      <c r="D462">
        <v>4</v>
      </c>
    </row>
    <row r="463" spans="1:4">
      <c r="A463" s="31" t="s">
        <v>302</v>
      </c>
      <c r="B463" s="6" t="s">
        <v>265</v>
      </c>
      <c r="C463" s="8">
        <v>0</v>
      </c>
      <c r="D463">
        <v>5</v>
      </c>
    </row>
    <row r="464" spans="1:4">
      <c r="A464" s="31" t="s">
        <v>302</v>
      </c>
      <c r="B464" s="6" t="s">
        <v>112</v>
      </c>
      <c r="C464" s="8">
        <v>6</v>
      </c>
      <c r="D464">
        <v>6</v>
      </c>
    </row>
    <row r="465" spans="1:4">
      <c r="A465" s="31" t="s">
        <v>302</v>
      </c>
      <c r="B465" s="6" t="s">
        <v>267</v>
      </c>
      <c r="C465" s="8">
        <v>0</v>
      </c>
      <c r="D465">
        <v>7</v>
      </c>
    </row>
    <row r="466" spans="1:4">
      <c r="A466" s="31" t="s">
        <v>302</v>
      </c>
      <c r="B466" s="6" t="s">
        <v>268</v>
      </c>
      <c r="C466" s="8">
        <v>0</v>
      </c>
      <c r="D466">
        <v>8</v>
      </c>
    </row>
    <row r="467" spans="1:4">
      <c r="A467" s="31" t="s">
        <v>302</v>
      </c>
      <c r="B467" s="6" t="s">
        <v>269</v>
      </c>
      <c r="C467" s="8">
        <v>0</v>
      </c>
      <c r="D467">
        <v>9</v>
      </c>
    </row>
    <row r="468" spans="1:4">
      <c r="A468" s="31" t="s">
        <v>302</v>
      </c>
      <c r="B468" s="6" t="s">
        <v>270</v>
      </c>
      <c r="C468" s="8">
        <v>0</v>
      </c>
      <c r="D468">
        <v>10</v>
      </c>
    </row>
    <row r="469" spans="1:4">
      <c r="A469" s="31" t="s">
        <v>302</v>
      </c>
      <c r="B469" s="6" t="s">
        <v>271</v>
      </c>
      <c r="C469" s="8">
        <v>0</v>
      </c>
      <c r="D469">
        <v>11</v>
      </c>
    </row>
    <row r="470" spans="1:4">
      <c r="A470" s="31" t="s">
        <v>302</v>
      </c>
      <c r="B470" s="6" t="s">
        <v>272</v>
      </c>
      <c r="C470" s="8">
        <v>0</v>
      </c>
      <c r="D470">
        <v>12</v>
      </c>
    </row>
    <row r="471" spans="1:4">
      <c r="A471" s="31" t="s">
        <v>302</v>
      </c>
      <c r="B471" s="6" t="s">
        <v>273</v>
      </c>
      <c r="C471" s="8">
        <v>0</v>
      </c>
      <c r="D471">
        <v>13</v>
      </c>
    </row>
    <row r="472" spans="1:4">
      <c r="A472" s="31" t="s">
        <v>302</v>
      </c>
      <c r="B472" s="6" t="s">
        <v>132</v>
      </c>
      <c r="C472" s="8">
        <v>59</v>
      </c>
      <c r="D472">
        <v>14</v>
      </c>
    </row>
    <row r="473" spans="1:4">
      <c r="A473" s="31" t="s">
        <v>302</v>
      </c>
      <c r="B473" s="6" t="s">
        <v>261</v>
      </c>
      <c r="C473" s="8">
        <v>0</v>
      </c>
      <c r="D473">
        <v>15</v>
      </c>
    </row>
    <row r="474" spans="1:4">
      <c r="A474" s="31" t="s">
        <v>302</v>
      </c>
      <c r="B474" s="6" t="s">
        <v>262</v>
      </c>
      <c r="C474" s="8">
        <v>0</v>
      </c>
      <c r="D474">
        <v>16</v>
      </c>
    </row>
    <row r="475" spans="1:4">
      <c r="A475" s="31" t="s">
        <v>302</v>
      </c>
      <c r="B475" s="6" t="s">
        <v>303</v>
      </c>
      <c r="C475" s="8">
        <v>0</v>
      </c>
      <c r="D475">
        <v>17</v>
      </c>
    </row>
    <row r="476" spans="1:4">
      <c r="A476" s="31" t="s">
        <v>302</v>
      </c>
      <c r="B476" s="6" t="s">
        <v>296</v>
      </c>
      <c r="C476" s="8">
        <v>61</v>
      </c>
      <c r="D476">
        <v>18</v>
      </c>
    </row>
    <row r="477" spans="1:4">
      <c r="A477" s="31" t="s">
        <v>304</v>
      </c>
      <c r="B477" s="6" t="s">
        <v>160</v>
      </c>
      <c r="C477" s="8">
        <v>0</v>
      </c>
      <c r="D477">
        <v>1</v>
      </c>
    </row>
    <row r="478" spans="1:4">
      <c r="A478" s="31" t="s">
        <v>304</v>
      </c>
      <c r="B478" s="6" t="s">
        <v>264</v>
      </c>
      <c r="C478" s="8">
        <v>0</v>
      </c>
      <c r="D478">
        <v>2</v>
      </c>
    </row>
    <row r="479" spans="1:4">
      <c r="A479" s="31" t="s">
        <v>304</v>
      </c>
      <c r="B479" s="6" t="s">
        <v>265</v>
      </c>
      <c r="C479" s="8">
        <v>0</v>
      </c>
      <c r="D479">
        <v>3</v>
      </c>
    </row>
    <row r="480" spans="1:4">
      <c r="A480" s="31" t="s">
        <v>304</v>
      </c>
      <c r="B480" s="6" t="s">
        <v>266</v>
      </c>
      <c r="C480" s="8">
        <v>0</v>
      </c>
      <c r="D480">
        <v>4</v>
      </c>
    </row>
    <row r="481" spans="1:4">
      <c r="A481" s="31" t="s">
        <v>304</v>
      </c>
      <c r="B481" s="6" t="s">
        <v>112</v>
      </c>
      <c r="C481" s="8">
        <v>0</v>
      </c>
      <c r="D481">
        <v>5</v>
      </c>
    </row>
    <row r="482" spans="1:4">
      <c r="A482" s="31" t="s">
        <v>304</v>
      </c>
      <c r="B482" s="6" t="s">
        <v>267</v>
      </c>
      <c r="C482" s="8">
        <v>0</v>
      </c>
      <c r="D482">
        <v>6</v>
      </c>
    </row>
    <row r="483" spans="1:4">
      <c r="A483" s="31" t="s">
        <v>304</v>
      </c>
      <c r="B483" s="6" t="s">
        <v>268</v>
      </c>
      <c r="C483" s="8">
        <v>0</v>
      </c>
      <c r="D483">
        <v>7</v>
      </c>
    </row>
    <row r="484" spans="1:4">
      <c r="A484" s="31" t="s">
        <v>304</v>
      </c>
      <c r="B484" s="6" t="s">
        <v>269</v>
      </c>
      <c r="C484" s="8">
        <v>0</v>
      </c>
      <c r="D484">
        <v>8</v>
      </c>
    </row>
    <row r="485" spans="1:4">
      <c r="A485" s="31" t="s">
        <v>304</v>
      </c>
      <c r="B485" s="6" t="s">
        <v>270</v>
      </c>
      <c r="C485" s="8">
        <v>0</v>
      </c>
      <c r="D485">
        <v>9</v>
      </c>
    </row>
    <row r="486" spans="1:4">
      <c r="A486" s="31" t="s">
        <v>304</v>
      </c>
      <c r="B486" s="6" t="s">
        <v>271</v>
      </c>
      <c r="C486" s="8">
        <v>0</v>
      </c>
      <c r="D486">
        <v>10</v>
      </c>
    </row>
    <row r="487" spans="1:4">
      <c r="A487" s="31" t="s">
        <v>304</v>
      </c>
      <c r="B487" s="6" t="s">
        <v>272</v>
      </c>
      <c r="C487" s="8">
        <v>0</v>
      </c>
      <c r="D487">
        <v>11</v>
      </c>
    </row>
    <row r="488" spans="1:4">
      <c r="A488" s="31" t="s">
        <v>304</v>
      </c>
      <c r="B488" s="6" t="s">
        <v>273</v>
      </c>
      <c r="C488" s="8">
        <v>0</v>
      </c>
      <c r="D488">
        <v>12</v>
      </c>
    </row>
    <row r="489" spans="1:4">
      <c r="A489" s="31" t="s">
        <v>304</v>
      </c>
      <c r="B489" s="6" t="s">
        <v>132</v>
      </c>
      <c r="C489" s="8">
        <v>0</v>
      </c>
      <c r="D489">
        <v>13</v>
      </c>
    </row>
    <row r="490" spans="1:4">
      <c r="A490" s="31" t="s">
        <v>304</v>
      </c>
      <c r="B490" s="6" t="s">
        <v>261</v>
      </c>
      <c r="C490" s="8">
        <v>0</v>
      </c>
      <c r="D490">
        <v>14</v>
      </c>
    </row>
    <row r="491" spans="1:4">
      <c r="A491" s="31" t="s">
        <v>304</v>
      </c>
      <c r="B491" s="6" t="s">
        <v>262</v>
      </c>
      <c r="C491" s="8">
        <v>0</v>
      </c>
      <c r="D491">
        <v>15</v>
      </c>
    </row>
    <row r="492" spans="1:4">
      <c r="A492" s="31" t="s">
        <v>305</v>
      </c>
      <c r="B492" s="6" t="s">
        <v>132</v>
      </c>
      <c r="C492" s="8">
        <v>0</v>
      </c>
      <c r="D492">
        <v>1</v>
      </c>
    </row>
    <row r="493" spans="1:4">
      <c r="A493" s="31" t="s">
        <v>305</v>
      </c>
      <c r="B493" s="6" t="s">
        <v>261</v>
      </c>
      <c r="C493" s="8">
        <v>0</v>
      </c>
      <c r="D493">
        <v>2</v>
      </c>
    </row>
    <row r="494" spans="1:4">
      <c r="A494" s="31" t="s">
        <v>305</v>
      </c>
      <c r="B494" s="6" t="s">
        <v>262</v>
      </c>
      <c r="C494" s="8">
        <v>0</v>
      </c>
      <c r="D494">
        <v>3</v>
      </c>
    </row>
    <row r="495" spans="1:4">
      <c r="A495" s="31" t="s">
        <v>306</v>
      </c>
      <c r="B495" s="6" t="s">
        <v>132</v>
      </c>
      <c r="C495" s="8">
        <v>0</v>
      </c>
      <c r="D495">
        <v>1</v>
      </c>
    </row>
    <row r="496" spans="1:4">
      <c r="A496" s="31" t="s">
        <v>306</v>
      </c>
      <c r="B496" s="6" t="s">
        <v>261</v>
      </c>
      <c r="C496" s="8">
        <v>0</v>
      </c>
      <c r="D496">
        <v>2</v>
      </c>
    </row>
    <row r="497" spans="1:4">
      <c r="A497" s="31" t="s">
        <v>306</v>
      </c>
      <c r="B497" s="6" t="s">
        <v>262</v>
      </c>
      <c r="C497" s="8">
        <v>0</v>
      </c>
      <c r="D497">
        <v>3</v>
      </c>
    </row>
    <row r="498" spans="1:4">
      <c r="A498" s="31" t="s">
        <v>307</v>
      </c>
      <c r="B498" s="6" t="s">
        <v>279</v>
      </c>
      <c r="C498" s="8">
        <v>0</v>
      </c>
      <c r="D498">
        <v>1</v>
      </c>
    </row>
    <row r="499" spans="1:4">
      <c r="A499" s="31" t="s">
        <v>307</v>
      </c>
      <c r="B499" s="6" t="s">
        <v>280</v>
      </c>
      <c r="C499" s="8">
        <v>0</v>
      </c>
      <c r="D499">
        <v>2</v>
      </c>
    </row>
    <row r="500" spans="1:4">
      <c r="A500" s="31" t="s">
        <v>307</v>
      </c>
      <c r="B500" s="6" t="s">
        <v>281</v>
      </c>
      <c r="C500" s="8">
        <v>0</v>
      </c>
      <c r="D500">
        <v>3</v>
      </c>
    </row>
    <row r="501" spans="1:4">
      <c r="A501" s="31" t="s">
        <v>307</v>
      </c>
      <c r="B501" s="6" t="s">
        <v>282</v>
      </c>
      <c r="C501" s="8">
        <v>0</v>
      </c>
      <c r="D501">
        <v>4</v>
      </c>
    </row>
    <row r="502" spans="1:4">
      <c r="A502" s="31" t="s">
        <v>307</v>
      </c>
      <c r="B502" s="6" t="s">
        <v>283</v>
      </c>
      <c r="C502" s="8">
        <v>0</v>
      </c>
      <c r="D502">
        <v>5</v>
      </c>
    </row>
    <row r="503" spans="1:4">
      <c r="A503" s="31" t="s">
        <v>307</v>
      </c>
      <c r="B503" s="6" t="s">
        <v>284</v>
      </c>
      <c r="C503" s="8">
        <v>3</v>
      </c>
      <c r="D503">
        <v>6</v>
      </c>
    </row>
    <row r="504" spans="1:4">
      <c r="A504" s="31" t="s">
        <v>307</v>
      </c>
      <c r="B504" s="6" t="s">
        <v>160</v>
      </c>
      <c r="C504" s="8">
        <v>0</v>
      </c>
      <c r="D504">
        <v>7</v>
      </c>
    </row>
    <row r="505" spans="1:4">
      <c r="A505" s="31" t="s">
        <v>307</v>
      </c>
      <c r="B505" s="6" t="s">
        <v>264</v>
      </c>
      <c r="C505" s="8">
        <v>0</v>
      </c>
      <c r="D505">
        <v>8</v>
      </c>
    </row>
    <row r="506" spans="1:4">
      <c r="A506" s="31" t="s">
        <v>307</v>
      </c>
      <c r="B506" s="6" t="s">
        <v>265</v>
      </c>
      <c r="C506" s="8">
        <v>0</v>
      </c>
      <c r="D506">
        <v>9</v>
      </c>
    </row>
    <row r="507" spans="1:4">
      <c r="A507" s="31" t="s">
        <v>307</v>
      </c>
      <c r="B507" s="6" t="s">
        <v>266</v>
      </c>
      <c r="C507" s="8">
        <v>0</v>
      </c>
      <c r="D507">
        <v>10</v>
      </c>
    </row>
    <row r="508" spans="1:4">
      <c r="A508" s="31" t="s">
        <v>307</v>
      </c>
      <c r="B508" s="6" t="s">
        <v>112</v>
      </c>
      <c r="C508" s="8">
        <v>0</v>
      </c>
      <c r="D508">
        <v>11</v>
      </c>
    </row>
    <row r="509" spans="1:4">
      <c r="A509" s="31" t="s">
        <v>307</v>
      </c>
      <c r="B509" s="6" t="s">
        <v>267</v>
      </c>
      <c r="C509" s="8">
        <v>0</v>
      </c>
      <c r="D509">
        <v>12</v>
      </c>
    </row>
    <row r="510" spans="1:4">
      <c r="A510" s="31" t="s">
        <v>307</v>
      </c>
      <c r="B510" s="6" t="s">
        <v>268</v>
      </c>
      <c r="C510" s="8">
        <v>0</v>
      </c>
      <c r="D510">
        <v>13</v>
      </c>
    </row>
    <row r="511" spans="1:4">
      <c r="A511" s="31" t="s">
        <v>307</v>
      </c>
      <c r="B511" s="6" t="s">
        <v>269</v>
      </c>
      <c r="C511" s="8">
        <v>0</v>
      </c>
      <c r="D511">
        <v>14</v>
      </c>
    </row>
    <row r="512" spans="1:4">
      <c r="A512" s="31" t="s">
        <v>307</v>
      </c>
      <c r="B512" s="6" t="s">
        <v>270</v>
      </c>
      <c r="C512" s="8">
        <v>0</v>
      </c>
      <c r="D512">
        <v>15</v>
      </c>
    </row>
    <row r="513" spans="1:4">
      <c r="A513" s="31" t="s">
        <v>307</v>
      </c>
      <c r="B513" s="6" t="s">
        <v>271</v>
      </c>
      <c r="C513" s="8">
        <v>0</v>
      </c>
      <c r="D513">
        <v>16</v>
      </c>
    </row>
    <row r="514" spans="1:4">
      <c r="A514" s="31" t="s">
        <v>307</v>
      </c>
      <c r="B514" s="6" t="s">
        <v>272</v>
      </c>
      <c r="C514" s="8">
        <v>0</v>
      </c>
      <c r="D514">
        <v>17</v>
      </c>
    </row>
    <row r="515" spans="1:4">
      <c r="A515" s="31" t="s">
        <v>307</v>
      </c>
      <c r="B515" s="6" t="s">
        <v>273</v>
      </c>
      <c r="C515" s="8">
        <v>0</v>
      </c>
      <c r="D515">
        <v>18</v>
      </c>
    </row>
    <row r="516" spans="1:4">
      <c r="A516" s="31" t="s">
        <v>307</v>
      </c>
      <c r="B516" s="6" t="s">
        <v>132</v>
      </c>
      <c r="C516" s="8">
        <v>0</v>
      </c>
      <c r="D516">
        <v>19</v>
      </c>
    </row>
    <row r="517" spans="1:4">
      <c r="A517" s="31" t="s">
        <v>307</v>
      </c>
      <c r="B517" s="6" t="s">
        <v>261</v>
      </c>
      <c r="C517" s="8">
        <v>0</v>
      </c>
      <c r="D517">
        <v>20</v>
      </c>
    </row>
    <row r="518" spans="1:4">
      <c r="A518" s="31" t="s">
        <v>307</v>
      </c>
      <c r="B518" s="6" t="s">
        <v>262</v>
      </c>
      <c r="C518" s="8">
        <v>0</v>
      </c>
      <c r="D518">
        <v>21</v>
      </c>
    </row>
    <row r="519" spans="1:4">
      <c r="A519" s="31" t="s">
        <v>308</v>
      </c>
      <c r="B519" s="6" t="s">
        <v>268</v>
      </c>
      <c r="C519" s="8">
        <v>0</v>
      </c>
      <c r="D519">
        <v>1</v>
      </c>
    </row>
    <row r="520" spans="1:4">
      <c r="A520" s="31" t="s">
        <v>308</v>
      </c>
      <c r="B520" s="6" t="s">
        <v>269</v>
      </c>
      <c r="C520" s="8">
        <v>0</v>
      </c>
      <c r="D520">
        <v>2</v>
      </c>
    </row>
    <row r="521" spans="1:4">
      <c r="A521" s="31" t="s">
        <v>308</v>
      </c>
      <c r="B521" s="6" t="s">
        <v>270</v>
      </c>
      <c r="C521" s="8">
        <v>0</v>
      </c>
      <c r="D521">
        <v>3</v>
      </c>
    </row>
    <row r="522" spans="1:4">
      <c r="A522" s="31" t="s">
        <v>308</v>
      </c>
      <c r="B522" s="6" t="s">
        <v>271</v>
      </c>
      <c r="C522" s="8">
        <v>0</v>
      </c>
      <c r="D522">
        <v>4</v>
      </c>
    </row>
    <row r="523" spans="1:4">
      <c r="A523" s="31" t="s">
        <v>308</v>
      </c>
      <c r="B523" s="6" t="s">
        <v>272</v>
      </c>
      <c r="C523" s="8">
        <v>0</v>
      </c>
      <c r="D523">
        <v>5</v>
      </c>
    </row>
    <row r="524" spans="1:4">
      <c r="A524" s="31" t="s">
        <v>308</v>
      </c>
      <c r="B524" s="6" t="s">
        <v>273</v>
      </c>
      <c r="C524" s="8">
        <v>0</v>
      </c>
      <c r="D524">
        <v>6</v>
      </c>
    </row>
    <row r="525" spans="1:4">
      <c r="A525" s="31" t="s">
        <v>308</v>
      </c>
      <c r="B525" s="6" t="s">
        <v>132</v>
      </c>
      <c r="C525" s="8">
        <v>0</v>
      </c>
      <c r="D525">
        <v>7</v>
      </c>
    </row>
    <row r="526" spans="1:4">
      <c r="A526" s="31" t="s">
        <v>308</v>
      </c>
      <c r="B526" s="6" t="s">
        <v>261</v>
      </c>
      <c r="C526" s="8">
        <v>0</v>
      </c>
      <c r="D526">
        <v>8</v>
      </c>
    </row>
    <row r="527" spans="1:4">
      <c r="A527" s="31" t="s">
        <v>308</v>
      </c>
      <c r="B527" s="6" t="s">
        <v>262</v>
      </c>
      <c r="C527" s="8">
        <v>0</v>
      </c>
      <c r="D527">
        <v>9</v>
      </c>
    </row>
    <row r="528" spans="1:4">
      <c r="A528" s="31" t="s">
        <v>309</v>
      </c>
      <c r="B528" s="6" t="s">
        <v>281</v>
      </c>
      <c r="C528" s="8">
        <v>0</v>
      </c>
      <c r="D528">
        <v>1</v>
      </c>
    </row>
    <row r="529" spans="1:4">
      <c r="A529" s="31" t="s">
        <v>309</v>
      </c>
      <c r="B529" s="6" t="s">
        <v>282</v>
      </c>
      <c r="C529" s="8">
        <v>0</v>
      </c>
      <c r="D529">
        <v>2</v>
      </c>
    </row>
    <row r="530" spans="1:4">
      <c r="A530" s="31" t="s">
        <v>309</v>
      </c>
      <c r="B530" s="6" t="s">
        <v>283</v>
      </c>
      <c r="C530" s="8">
        <v>0</v>
      </c>
      <c r="D530">
        <v>3</v>
      </c>
    </row>
    <row r="531" spans="1:4">
      <c r="A531" s="31" t="s">
        <v>309</v>
      </c>
      <c r="B531" s="6" t="s">
        <v>284</v>
      </c>
      <c r="C531" s="8">
        <v>0</v>
      </c>
      <c r="D531">
        <v>4</v>
      </c>
    </row>
    <row r="532" spans="1:4">
      <c r="A532" s="31" t="s">
        <v>309</v>
      </c>
      <c r="B532" s="6" t="s">
        <v>160</v>
      </c>
      <c r="C532" s="8">
        <v>0</v>
      </c>
      <c r="D532">
        <v>5</v>
      </c>
    </row>
    <row r="533" spans="1:4">
      <c r="A533" s="31" t="s">
        <v>309</v>
      </c>
      <c r="B533" s="6" t="s">
        <v>264</v>
      </c>
      <c r="C533" s="8">
        <v>0</v>
      </c>
      <c r="D533">
        <v>6</v>
      </c>
    </row>
    <row r="534" spans="1:4">
      <c r="A534" s="31" t="s">
        <v>309</v>
      </c>
      <c r="B534" s="6" t="s">
        <v>265</v>
      </c>
      <c r="C534" s="8">
        <v>0</v>
      </c>
      <c r="D534">
        <v>7</v>
      </c>
    </row>
    <row r="535" spans="1:4">
      <c r="A535" s="31" t="s">
        <v>309</v>
      </c>
      <c r="B535" s="6" t="s">
        <v>266</v>
      </c>
      <c r="C535" s="8">
        <v>0</v>
      </c>
      <c r="D535">
        <v>8</v>
      </c>
    </row>
    <row r="536" spans="1:4">
      <c r="A536" s="31" t="s">
        <v>309</v>
      </c>
      <c r="B536" s="6" t="s">
        <v>112</v>
      </c>
      <c r="C536" s="8">
        <v>0</v>
      </c>
      <c r="D536">
        <v>9</v>
      </c>
    </row>
    <row r="537" spans="1:4">
      <c r="A537" s="31" t="s">
        <v>309</v>
      </c>
      <c r="B537" s="6" t="s">
        <v>267</v>
      </c>
      <c r="C537" s="8">
        <v>0</v>
      </c>
      <c r="D537">
        <v>10</v>
      </c>
    </row>
    <row r="538" spans="1:4">
      <c r="A538" s="31" t="s">
        <v>309</v>
      </c>
      <c r="B538" s="6" t="s">
        <v>268</v>
      </c>
      <c r="C538" s="8">
        <v>0</v>
      </c>
      <c r="D538">
        <v>11</v>
      </c>
    </row>
    <row r="539" spans="1:4">
      <c r="A539" s="31" t="s">
        <v>309</v>
      </c>
      <c r="B539" s="6" t="s">
        <v>269</v>
      </c>
      <c r="C539" s="8">
        <v>0</v>
      </c>
      <c r="D539">
        <v>12</v>
      </c>
    </row>
    <row r="540" spans="1:4">
      <c r="A540" s="31" t="s">
        <v>309</v>
      </c>
      <c r="B540" s="6" t="s">
        <v>270</v>
      </c>
      <c r="C540" s="8">
        <v>0</v>
      </c>
      <c r="D540">
        <v>13</v>
      </c>
    </row>
    <row r="541" spans="1:4">
      <c r="A541" s="31" t="s">
        <v>309</v>
      </c>
      <c r="B541" s="6" t="s">
        <v>271</v>
      </c>
      <c r="C541" s="8">
        <v>0</v>
      </c>
      <c r="D541">
        <v>14</v>
      </c>
    </row>
    <row r="542" spans="1:4">
      <c r="A542" s="31" t="s">
        <v>309</v>
      </c>
      <c r="B542" s="6" t="s">
        <v>272</v>
      </c>
      <c r="C542" s="8">
        <v>0</v>
      </c>
      <c r="D542">
        <v>15</v>
      </c>
    </row>
    <row r="543" spans="1:4">
      <c r="A543" s="31" t="s">
        <v>309</v>
      </c>
      <c r="B543" s="6" t="s">
        <v>273</v>
      </c>
      <c r="C543" s="8">
        <v>0</v>
      </c>
      <c r="D543">
        <v>16</v>
      </c>
    </row>
    <row r="544" spans="1:4">
      <c r="A544" s="31" t="s">
        <v>309</v>
      </c>
      <c r="B544" s="6" t="s">
        <v>132</v>
      </c>
      <c r="C544" s="8">
        <v>0</v>
      </c>
      <c r="D544">
        <v>17</v>
      </c>
    </row>
    <row r="545" spans="1:4">
      <c r="A545" s="31" t="s">
        <v>309</v>
      </c>
      <c r="B545" s="6" t="s">
        <v>261</v>
      </c>
      <c r="C545" s="8">
        <v>0</v>
      </c>
      <c r="D545">
        <v>18</v>
      </c>
    </row>
    <row r="546" spans="1:4">
      <c r="A546" s="31" t="s">
        <v>309</v>
      </c>
      <c r="B546" s="6" t="s">
        <v>262</v>
      </c>
      <c r="C546" s="8">
        <v>0</v>
      </c>
      <c r="D546">
        <v>19</v>
      </c>
    </row>
    <row r="547" spans="1:4">
      <c r="A547" s="31" t="s">
        <v>310</v>
      </c>
      <c r="B547" s="6" t="s">
        <v>279</v>
      </c>
      <c r="C547" s="8">
        <v>0</v>
      </c>
      <c r="D547">
        <v>1</v>
      </c>
    </row>
    <row r="548" spans="1:4">
      <c r="A548" s="31" t="s">
        <v>310</v>
      </c>
      <c r="B548" s="6" t="s">
        <v>280</v>
      </c>
      <c r="C548" s="8">
        <v>0</v>
      </c>
      <c r="D548">
        <v>2</v>
      </c>
    </row>
    <row r="549" spans="1:4">
      <c r="A549" s="31" t="s">
        <v>310</v>
      </c>
      <c r="B549" s="6" t="s">
        <v>281</v>
      </c>
      <c r="C549" s="8">
        <v>0</v>
      </c>
      <c r="D549">
        <v>3</v>
      </c>
    </row>
    <row r="550" spans="1:4">
      <c r="A550" s="31" t="s">
        <v>310</v>
      </c>
      <c r="B550" s="6" t="s">
        <v>282</v>
      </c>
      <c r="C550" s="8">
        <v>0</v>
      </c>
      <c r="D550">
        <v>4</v>
      </c>
    </row>
    <row r="551" spans="1:4">
      <c r="A551" s="31" t="s">
        <v>310</v>
      </c>
      <c r="B551" s="6" t="s">
        <v>283</v>
      </c>
      <c r="C551" s="8">
        <v>0</v>
      </c>
      <c r="D551">
        <v>5</v>
      </c>
    </row>
    <row r="552" spans="1:4">
      <c r="A552" s="31" t="s">
        <v>310</v>
      </c>
      <c r="B552" s="6" t="s">
        <v>160</v>
      </c>
      <c r="C552" s="8">
        <v>0</v>
      </c>
      <c r="D552">
        <v>6</v>
      </c>
    </row>
    <row r="553" spans="1:4">
      <c r="A553" s="31" t="s">
        <v>310</v>
      </c>
      <c r="B553" s="6" t="s">
        <v>264</v>
      </c>
      <c r="C553" s="8">
        <v>0</v>
      </c>
      <c r="D553">
        <v>7</v>
      </c>
    </row>
    <row r="554" spans="1:4">
      <c r="A554" s="31" t="s">
        <v>310</v>
      </c>
      <c r="B554" s="6" t="s">
        <v>265</v>
      </c>
      <c r="C554" s="8">
        <v>0</v>
      </c>
      <c r="D554">
        <v>8</v>
      </c>
    </row>
    <row r="555" spans="1:4">
      <c r="A555" s="31" t="s">
        <v>310</v>
      </c>
      <c r="B555" s="6" t="s">
        <v>266</v>
      </c>
      <c r="C555" s="8">
        <v>0</v>
      </c>
      <c r="D555">
        <v>9</v>
      </c>
    </row>
    <row r="556" spans="1:4">
      <c r="A556" s="31" t="s">
        <v>310</v>
      </c>
      <c r="B556" s="6" t="s">
        <v>112</v>
      </c>
      <c r="C556" s="8">
        <v>0</v>
      </c>
      <c r="D556">
        <v>10</v>
      </c>
    </row>
    <row r="557" spans="1:4">
      <c r="A557" s="31" t="s">
        <v>310</v>
      </c>
      <c r="B557" s="6" t="s">
        <v>267</v>
      </c>
      <c r="C557" s="8">
        <v>0</v>
      </c>
      <c r="D557">
        <v>11</v>
      </c>
    </row>
    <row r="558" spans="1:4">
      <c r="A558" s="31" t="s">
        <v>310</v>
      </c>
      <c r="B558" s="6" t="s">
        <v>268</v>
      </c>
      <c r="C558" s="8">
        <v>0</v>
      </c>
      <c r="D558">
        <v>12</v>
      </c>
    </row>
    <row r="559" spans="1:4">
      <c r="A559" s="31" t="s">
        <v>310</v>
      </c>
      <c r="B559" s="6" t="s">
        <v>269</v>
      </c>
      <c r="C559" s="8">
        <v>0</v>
      </c>
      <c r="D559">
        <v>13</v>
      </c>
    </row>
    <row r="560" spans="1:4">
      <c r="A560" s="31" t="s">
        <v>310</v>
      </c>
      <c r="B560" s="6" t="s">
        <v>270</v>
      </c>
      <c r="C560" s="8">
        <v>0</v>
      </c>
      <c r="D560">
        <v>14</v>
      </c>
    </row>
    <row r="561" spans="1:4">
      <c r="A561" s="31" t="s">
        <v>310</v>
      </c>
      <c r="B561" s="6" t="s">
        <v>271</v>
      </c>
      <c r="C561" s="8">
        <v>0</v>
      </c>
      <c r="D561">
        <v>15</v>
      </c>
    </row>
    <row r="562" spans="1:4">
      <c r="A562" s="31" t="s">
        <v>310</v>
      </c>
      <c r="B562" s="6" t="s">
        <v>272</v>
      </c>
      <c r="C562" s="8">
        <v>0</v>
      </c>
      <c r="D562">
        <v>16</v>
      </c>
    </row>
    <row r="563" spans="1:4">
      <c r="A563" s="31" t="s">
        <v>310</v>
      </c>
      <c r="B563" s="6" t="s">
        <v>273</v>
      </c>
      <c r="C563" s="8">
        <v>0</v>
      </c>
      <c r="D563">
        <v>17</v>
      </c>
    </row>
    <row r="564" spans="1:4">
      <c r="A564" s="31" t="s">
        <v>310</v>
      </c>
      <c r="B564" s="6" t="s">
        <v>132</v>
      </c>
      <c r="C564" s="8">
        <v>0</v>
      </c>
      <c r="D564">
        <v>18</v>
      </c>
    </row>
    <row r="565" spans="1:4">
      <c r="A565" s="31" t="s">
        <v>310</v>
      </c>
      <c r="B565" s="6" t="s">
        <v>261</v>
      </c>
      <c r="C565" s="8">
        <v>0</v>
      </c>
      <c r="D565">
        <v>19</v>
      </c>
    </row>
    <row r="566" spans="1:4">
      <c r="A566" s="31" t="s">
        <v>310</v>
      </c>
      <c r="B566" s="6" t="s">
        <v>262</v>
      </c>
      <c r="C566" s="8">
        <v>0</v>
      </c>
      <c r="D566">
        <v>20</v>
      </c>
    </row>
    <row r="567" spans="1:4">
      <c r="A567" s="31" t="s">
        <v>311</v>
      </c>
      <c r="B567" s="6" t="s">
        <v>281</v>
      </c>
      <c r="C567" s="8">
        <v>0</v>
      </c>
      <c r="D567">
        <v>1</v>
      </c>
    </row>
    <row r="568" spans="1:4">
      <c r="A568" s="31" t="s">
        <v>311</v>
      </c>
      <c r="B568" s="6" t="s">
        <v>282</v>
      </c>
      <c r="C568" s="8">
        <v>0</v>
      </c>
      <c r="D568">
        <v>2</v>
      </c>
    </row>
    <row r="569" spans="1:4">
      <c r="A569" s="31" t="s">
        <v>311</v>
      </c>
      <c r="B569" s="6" t="s">
        <v>283</v>
      </c>
      <c r="C569" s="8">
        <v>0</v>
      </c>
      <c r="D569">
        <v>3</v>
      </c>
    </row>
    <row r="570" spans="1:4">
      <c r="A570" s="31" t="s">
        <v>311</v>
      </c>
      <c r="B570" s="6" t="s">
        <v>284</v>
      </c>
      <c r="C570" s="8">
        <v>0</v>
      </c>
      <c r="D570">
        <v>4</v>
      </c>
    </row>
    <row r="571" spans="1:4">
      <c r="A571" s="31" t="s">
        <v>311</v>
      </c>
      <c r="B571" s="6" t="s">
        <v>160</v>
      </c>
      <c r="C571" s="8">
        <v>0</v>
      </c>
      <c r="D571">
        <v>5</v>
      </c>
    </row>
    <row r="572" spans="1:4">
      <c r="A572" s="31" t="s">
        <v>311</v>
      </c>
      <c r="B572" s="6" t="s">
        <v>264</v>
      </c>
      <c r="C572" s="8">
        <v>0</v>
      </c>
      <c r="D572">
        <v>6</v>
      </c>
    </row>
    <row r="573" spans="1:4">
      <c r="A573" s="31" t="s">
        <v>311</v>
      </c>
      <c r="B573" s="6" t="s">
        <v>265</v>
      </c>
      <c r="C573" s="8">
        <v>0</v>
      </c>
      <c r="D573">
        <v>7</v>
      </c>
    </row>
    <row r="574" spans="1:4">
      <c r="A574" s="31" t="s">
        <v>311</v>
      </c>
      <c r="B574" s="6" t="s">
        <v>266</v>
      </c>
      <c r="C574" s="8">
        <v>0</v>
      </c>
      <c r="D574">
        <v>8</v>
      </c>
    </row>
    <row r="575" spans="1:4">
      <c r="A575" s="31" t="s">
        <v>311</v>
      </c>
      <c r="B575" s="6" t="s">
        <v>112</v>
      </c>
      <c r="C575" s="8">
        <v>0</v>
      </c>
      <c r="D575">
        <v>9</v>
      </c>
    </row>
    <row r="576" spans="1:4">
      <c r="A576" s="31" t="s">
        <v>311</v>
      </c>
      <c r="B576" s="6" t="s">
        <v>267</v>
      </c>
      <c r="C576" s="8">
        <v>0</v>
      </c>
      <c r="D576">
        <v>10</v>
      </c>
    </row>
    <row r="577" spans="1:4">
      <c r="A577" s="31" t="s">
        <v>311</v>
      </c>
      <c r="B577" s="6" t="s">
        <v>268</v>
      </c>
      <c r="C577" s="8">
        <v>0</v>
      </c>
      <c r="D577">
        <v>11</v>
      </c>
    </row>
    <row r="578" spans="1:4">
      <c r="A578" s="31" t="s">
        <v>311</v>
      </c>
      <c r="B578" s="6" t="s">
        <v>269</v>
      </c>
      <c r="C578" s="8">
        <v>0</v>
      </c>
      <c r="D578">
        <v>12</v>
      </c>
    </row>
    <row r="579" spans="1:4">
      <c r="A579" s="31" t="s">
        <v>311</v>
      </c>
      <c r="B579" s="6" t="s">
        <v>270</v>
      </c>
      <c r="C579" s="8">
        <v>0</v>
      </c>
      <c r="D579">
        <v>13</v>
      </c>
    </row>
    <row r="580" spans="1:4">
      <c r="A580" s="31" t="s">
        <v>311</v>
      </c>
      <c r="B580" s="6" t="s">
        <v>271</v>
      </c>
      <c r="C580" s="8">
        <v>0</v>
      </c>
      <c r="D580">
        <v>14</v>
      </c>
    </row>
    <row r="581" spans="1:4">
      <c r="A581" s="31" t="s">
        <v>311</v>
      </c>
      <c r="B581" s="6" t="s">
        <v>272</v>
      </c>
      <c r="C581" s="8">
        <v>0</v>
      </c>
      <c r="D581">
        <v>15</v>
      </c>
    </row>
    <row r="582" spans="1:4">
      <c r="A582" s="31" t="s">
        <v>311</v>
      </c>
      <c r="B582" s="6" t="s">
        <v>273</v>
      </c>
      <c r="C582" s="8">
        <v>0</v>
      </c>
      <c r="D582">
        <v>16</v>
      </c>
    </row>
    <row r="583" spans="1:4">
      <c r="A583" s="31" t="s">
        <v>311</v>
      </c>
      <c r="B583" s="6" t="s">
        <v>132</v>
      </c>
      <c r="C583" s="8">
        <v>0</v>
      </c>
      <c r="D583">
        <v>17</v>
      </c>
    </row>
    <row r="584" spans="1:4">
      <c r="A584" s="31" t="s">
        <v>311</v>
      </c>
      <c r="B584" s="6" t="s">
        <v>261</v>
      </c>
      <c r="C584" s="8">
        <v>0</v>
      </c>
      <c r="D584">
        <v>18</v>
      </c>
    </row>
    <row r="585" spans="1:4">
      <c r="A585" s="31" t="s">
        <v>311</v>
      </c>
      <c r="B585" s="6" t="s">
        <v>262</v>
      </c>
      <c r="C585" s="8">
        <v>0</v>
      </c>
      <c r="D585">
        <v>19</v>
      </c>
    </row>
    <row r="586" spans="1:4">
      <c r="A586" s="31" t="s">
        <v>312</v>
      </c>
      <c r="B586" s="6" t="s">
        <v>268</v>
      </c>
      <c r="C586" s="8">
        <v>0</v>
      </c>
      <c r="D586">
        <v>1</v>
      </c>
    </row>
    <row r="587" spans="1:4">
      <c r="A587" s="31" t="s">
        <v>312</v>
      </c>
      <c r="B587" s="6" t="s">
        <v>269</v>
      </c>
      <c r="C587" s="8">
        <v>0</v>
      </c>
      <c r="D587">
        <v>2</v>
      </c>
    </row>
    <row r="588" spans="1:4">
      <c r="A588" s="31" t="s">
        <v>312</v>
      </c>
      <c r="B588" s="6" t="s">
        <v>270</v>
      </c>
      <c r="C588" s="8">
        <v>0</v>
      </c>
      <c r="D588">
        <v>3</v>
      </c>
    </row>
    <row r="589" spans="1:4">
      <c r="A589" s="31" t="s">
        <v>312</v>
      </c>
      <c r="B589" s="6" t="s">
        <v>271</v>
      </c>
      <c r="C589" s="8">
        <v>0</v>
      </c>
      <c r="D589">
        <v>4</v>
      </c>
    </row>
    <row r="590" spans="1:4">
      <c r="A590" s="31" t="s">
        <v>312</v>
      </c>
      <c r="B590" s="6" t="s">
        <v>272</v>
      </c>
      <c r="C590" s="8">
        <v>0</v>
      </c>
      <c r="D590">
        <v>5</v>
      </c>
    </row>
    <row r="591" spans="1:4">
      <c r="A591" s="31" t="s">
        <v>312</v>
      </c>
      <c r="B591" s="6" t="s">
        <v>273</v>
      </c>
      <c r="C591" s="8">
        <v>0</v>
      </c>
      <c r="D591">
        <v>6</v>
      </c>
    </row>
    <row r="592" spans="1:4">
      <c r="A592" s="31" t="s">
        <v>312</v>
      </c>
      <c r="B592" s="6" t="s">
        <v>132</v>
      </c>
      <c r="C592" s="8">
        <v>0</v>
      </c>
      <c r="D592">
        <v>7</v>
      </c>
    </row>
    <row r="593" spans="1:4">
      <c r="A593" s="31" t="s">
        <v>312</v>
      </c>
      <c r="B593" s="6" t="s">
        <v>261</v>
      </c>
      <c r="C593" s="8">
        <v>0</v>
      </c>
      <c r="D593">
        <v>8</v>
      </c>
    </row>
    <row r="594" spans="1:4">
      <c r="A594" s="31" t="s">
        <v>312</v>
      </c>
      <c r="B594" s="6" t="s">
        <v>262</v>
      </c>
      <c r="C594" s="8">
        <v>0</v>
      </c>
      <c r="D594">
        <v>9</v>
      </c>
    </row>
    <row r="595" spans="1:4">
      <c r="A595" s="31" t="s">
        <v>313</v>
      </c>
      <c r="B595" s="6" t="s">
        <v>132</v>
      </c>
      <c r="C595" s="8">
        <v>0</v>
      </c>
      <c r="D595">
        <v>1</v>
      </c>
    </row>
    <row r="596" spans="1:4">
      <c r="A596" s="31" t="s">
        <v>313</v>
      </c>
      <c r="B596" s="6" t="s">
        <v>261</v>
      </c>
      <c r="C596" s="8">
        <v>0</v>
      </c>
      <c r="D596">
        <v>2</v>
      </c>
    </row>
    <row r="597" spans="1:4">
      <c r="A597" s="31" t="s">
        <v>313</v>
      </c>
      <c r="B597" s="6" t="s">
        <v>262</v>
      </c>
      <c r="C597" s="8">
        <v>0</v>
      </c>
      <c r="D597">
        <v>3</v>
      </c>
    </row>
    <row r="598" spans="1:4">
      <c r="A598" s="31" t="s">
        <v>314</v>
      </c>
      <c r="B598" s="6" t="s">
        <v>279</v>
      </c>
      <c r="C598" s="8">
        <v>0</v>
      </c>
      <c r="D598">
        <v>1</v>
      </c>
    </row>
    <row r="599" spans="1:4">
      <c r="A599" s="31" t="s">
        <v>314</v>
      </c>
      <c r="B599" s="6" t="s">
        <v>280</v>
      </c>
      <c r="C599" s="8">
        <v>0</v>
      </c>
      <c r="D599">
        <v>2</v>
      </c>
    </row>
    <row r="600" spans="1:4">
      <c r="A600" s="31" t="s">
        <v>314</v>
      </c>
      <c r="B600" s="6" t="s">
        <v>281</v>
      </c>
      <c r="C600" s="8">
        <v>0</v>
      </c>
      <c r="D600">
        <v>3</v>
      </c>
    </row>
    <row r="601" spans="1:4">
      <c r="A601" s="31" t="s">
        <v>314</v>
      </c>
      <c r="B601" s="6" t="s">
        <v>282</v>
      </c>
      <c r="C601" s="8">
        <v>0</v>
      </c>
      <c r="D601">
        <v>4</v>
      </c>
    </row>
    <row r="602" spans="1:4">
      <c r="A602" s="31" t="s">
        <v>314</v>
      </c>
      <c r="B602" s="6" t="s">
        <v>283</v>
      </c>
      <c r="C602" s="8">
        <v>0</v>
      </c>
      <c r="D602">
        <v>5</v>
      </c>
    </row>
    <row r="603" spans="1:4">
      <c r="A603" s="31" t="s">
        <v>314</v>
      </c>
      <c r="B603" s="6" t="s">
        <v>284</v>
      </c>
      <c r="C603" s="8">
        <v>0</v>
      </c>
      <c r="D603">
        <v>6</v>
      </c>
    </row>
    <row r="604" spans="1:4">
      <c r="A604" s="31" t="s">
        <v>314</v>
      </c>
      <c r="B604" s="6" t="s">
        <v>160</v>
      </c>
      <c r="C604" s="8">
        <v>0</v>
      </c>
      <c r="D604">
        <v>7</v>
      </c>
    </row>
    <row r="605" spans="1:4">
      <c r="A605" s="31" t="s">
        <v>314</v>
      </c>
      <c r="B605" s="6" t="s">
        <v>264</v>
      </c>
      <c r="C605" s="8">
        <v>0</v>
      </c>
      <c r="D605">
        <v>8</v>
      </c>
    </row>
    <row r="606" spans="1:4">
      <c r="A606" s="31" t="s">
        <v>314</v>
      </c>
      <c r="B606" s="6" t="s">
        <v>265</v>
      </c>
      <c r="C606" s="8">
        <v>0</v>
      </c>
      <c r="D606">
        <v>9</v>
      </c>
    </row>
    <row r="607" spans="1:4">
      <c r="A607" s="31" t="s">
        <v>314</v>
      </c>
      <c r="B607" s="6" t="s">
        <v>266</v>
      </c>
      <c r="C607" s="8">
        <v>0</v>
      </c>
      <c r="D607">
        <v>10</v>
      </c>
    </row>
    <row r="608" spans="1:4">
      <c r="A608" s="31" t="s">
        <v>314</v>
      </c>
      <c r="B608" s="6" t="s">
        <v>112</v>
      </c>
      <c r="C608" s="8">
        <v>0</v>
      </c>
      <c r="D608">
        <v>11</v>
      </c>
    </row>
    <row r="609" spans="1:4">
      <c r="A609" s="31" t="s">
        <v>314</v>
      </c>
      <c r="B609" s="6" t="s">
        <v>267</v>
      </c>
      <c r="C609" s="8">
        <v>0</v>
      </c>
      <c r="D609">
        <v>12</v>
      </c>
    </row>
    <row r="610" spans="1:4">
      <c r="A610" s="31" t="s">
        <v>314</v>
      </c>
      <c r="B610" s="6" t="s">
        <v>268</v>
      </c>
      <c r="C610" s="8">
        <v>0</v>
      </c>
      <c r="D610">
        <v>13</v>
      </c>
    </row>
    <row r="611" spans="1:4">
      <c r="A611" s="31" t="s">
        <v>314</v>
      </c>
      <c r="B611" s="6" t="s">
        <v>269</v>
      </c>
      <c r="C611" s="8">
        <v>0</v>
      </c>
      <c r="D611">
        <v>14</v>
      </c>
    </row>
    <row r="612" spans="1:4">
      <c r="A612" s="31" t="s">
        <v>314</v>
      </c>
      <c r="B612" s="6" t="s">
        <v>270</v>
      </c>
      <c r="C612" s="8">
        <v>0</v>
      </c>
      <c r="D612">
        <v>15</v>
      </c>
    </row>
    <row r="613" spans="1:4">
      <c r="A613" s="31" t="s">
        <v>314</v>
      </c>
      <c r="B613" s="6" t="s">
        <v>271</v>
      </c>
      <c r="C613" s="8">
        <v>0</v>
      </c>
      <c r="D613">
        <v>16</v>
      </c>
    </row>
    <row r="614" spans="1:4">
      <c r="A614" s="31" t="s">
        <v>314</v>
      </c>
      <c r="B614" s="6" t="s">
        <v>272</v>
      </c>
      <c r="C614" s="8">
        <v>0</v>
      </c>
      <c r="D614">
        <v>17</v>
      </c>
    </row>
    <row r="615" spans="1:4">
      <c r="A615" s="31" t="s">
        <v>314</v>
      </c>
      <c r="B615" s="6" t="s">
        <v>273</v>
      </c>
      <c r="C615" s="8">
        <v>0</v>
      </c>
      <c r="D615">
        <v>18</v>
      </c>
    </row>
    <row r="616" spans="1:4">
      <c r="A616" s="31" t="s">
        <v>314</v>
      </c>
      <c r="B616" s="6" t="s">
        <v>132</v>
      </c>
      <c r="C616" s="8">
        <v>0</v>
      </c>
      <c r="D616">
        <v>19</v>
      </c>
    </row>
    <row r="617" spans="1:4">
      <c r="A617" s="31" t="s">
        <v>314</v>
      </c>
      <c r="B617" s="6" t="s">
        <v>261</v>
      </c>
      <c r="C617" s="8">
        <v>0</v>
      </c>
      <c r="D617">
        <v>20</v>
      </c>
    </row>
    <row r="618" spans="1:4">
      <c r="A618" s="31" t="s">
        <v>314</v>
      </c>
      <c r="B618" s="6" t="s">
        <v>262</v>
      </c>
      <c r="C618" s="8">
        <v>0</v>
      </c>
      <c r="D618">
        <v>21</v>
      </c>
    </row>
    <row r="619" spans="1:4">
      <c r="A619" s="31" t="s">
        <v>315</v>
      </c>
      <c r="B619" s="6" t="s">
        <v>280</v>
      </c>
      <c r="C619" s="8">
        <v>0</v>
      </c>
      <c r="D619">
        <v>1</v>
      </c>
    </row>
    <row r="620" spans="1:4">
      <c r="A620" s="31" t="s">
        <v>315</v>
      </c>
      <c r="B620" s="6" t="s">
        <v>282</v>
      </c>
      <c r="C620" s="8">
        <v>0</v>
      </c>
      <c r="D620">
        <v>2</v>
      </c>
    </row>
    <row r="621" spans="1:4">
      <c r="A621" s="31" t="s">
        <v>315</v>
      </c>
      <c r="B621" s="6" t="s">
        <v>283</v>
      </c>
      <c r="C621" s="8">
        <v>0</v>
      </c>
      <c r="D621">
        <v>3</v>
      </c>
    </row>
    <row r="622" spans="1:4">
      <c r="A622" s="31" t="s">
        <v>315</v>
      </c>
      <c r="B622" s="6" t="s">
        <v>160</v>
      </c>
      <c r="C622" s="8">
        <v>0</v>
      </c>
      <c r="D622">
        <v>4</v>
      </c>
    </row>
    <row r="623" spans="1:4">
      <c r="A623" s="31" t="s">
        <v>315</v>
      </c>
      <c r="B623" s="6" t="s">
        <v>264</v>
      </c>
      <c r="C623" s="8">
        <v>0</v>
      </c>
      <c r="D623">
        <v>5</v>
      </c>
    </row>
    <row r="624" spans="1:4">
      <c r="A624" s="31" t="s">
        <v>315</v>
      </c>
      <c r="B624" s="6" t="s">
        <v>265</v>
      </c>
      <c r="C624" s="8">
        <v>0</v>
      </c>
      <c r="D624">
        <v>6</v>
      </c>
    </row>
    <row r="625" spans="1:4">
      <c r="A625" s="31" t="s">
        <v>315</v>
      </c>
      <c r="B625" s="6" t="s">
        <v>266</v>
      </c>
      <c r="C625" s="8">
        <v>0</v>
      </c>
      <c r="D625">
        <v>7</v>
      </c>
    </row>
    <row r="626" spans="1:4">
      <c r="A626" s="31" t="s">
        <v>315</v>
      </c>
      <c r="B626" s="6" t="s">
        <v>112</v>
      </c>
      <c r="C626" s="8">
        <v>0</v>
      </c>
      <c r="D626">
        <v>8</v>
      </c>
    </row>
    <row r="627" spans="1:4">
      <c r="A627" s="31" t="s">
        <v>315</v>
      </c>
      <c r="B627" s="6" t="s">
        <v>267</v>
      </c>
      <c r="C627" s="8">
        <v>0</v>
      </c>
      <c r="D627">
        <v>9</v>
      </c>
    </row>
    <row r="628" spans="1:4">
      <c r="A628" s="31" t="s">
        <v>315</v>
      </c>
      <c r="B628" s="6" t="s">
        <v>268</v>
      </c>
      <c r="C628" s="8">
        <v>0</v>
      </c>
      <c r="D628">
        <v>10</v>
      </c>
    </row>
    <row r="629" spans="1:4">
      <c r="A629" s="31" t="s">
        <v>315</v>
      </c>
      <c r="B629" s="6" t="s">
        <v>269</v>
      </c>
      <c r="C629" s="8">
        <v>0</v>
      </c>
      <c r="D629">
        <v>11</v>
      </c>
    </row>
    <row r="630" spans="1:4">
      <c r="A630" s="31" t="s">
        <v>315</v>
      </c>
      <c r="B630" s="6" t="s">
        <v>270</v>
      </c>
      <c r="C630" s="8">
        <v>0</v>
      </c>
      <c r="D630">
        <v>12</v>
      </c>
    </row>
    <row r="631" spans="1:4">
      <c r="A631" s="31" t="s">
        <v>315</v>
      </c>
      <c r="B631" s="6" t="s">
        <v>271</v>
      </c>
      <c r="C631" s="8">
        <v>6</v>
      </c>
      <c r="D631">
        <v>13</v>
      </c>
    </row>
    <row r="632" spans="1:4">
      <c r="A632" s="31" t="s">
        <v>315</v>
      </c>
      <c r="B632" s="6" t="s">
        <v>272</v>
      </c>
      <c r="C632" s="8">
        <v>10</v>
      </c>
      <c r="D632">
        <v>14</v>
      </c>
    </row>
    <row r="633" spans="1:4">
      <c r="A633" s="31" t="s">
        <v>315</v>
      </c>
      <c r="B633" s="6" t="s">
        <v>273</v>
      </c>
      <c r="C633" s="8">
        <v>0</v>
      </c>
      <c r="D633">
        <v>15</v>
      </c>
    </row>
    <row r="634" spans="1:4">
      <c r="A634" s="31" t="s">
        <v>315</v>
      </c>
      <c r="B634" s="6" t="s">
        <v>132</v>
      </c>
      <c r="C634" s="8">
        <v>6</v>
      </c>
      <c r="D634">
        <v>16</v>
      </c>
    </row>
    <row r="635" spans="1:4">
      <c r="A635" s="31" t="s">
        <v>315</v>
      </c>
      <c r="B635" s="6" t="s">
        <v>261</v>
      </c>
      <c r="C635" s="8">
        <v>0</v>
      </c>
      <c r="D635">
        <v>17</v>
      </c>
    </row>
    <row r="636" spans="1:4">
      <c r="A636" s="31" t="s">
        <v>315</v>
      </c>
      <c r="B636" s="6" t="s">
        <v>262</v>
      </c>
      <c r="C636" s="8">
        <v>0</v>
      </c>
      <c r="D636">
        <v>18</v>
      </c>
    </row>
    <row r="637" spans="1:4">
      <c r="A637" s="31" t="s">
        <v>316</v>
      </c>
      <c r="B637" s="6" t="s">
        <v>280</v>
      </c>
      <c r="C637" s="8">
        <v>0</v>
      </c>
      <c r="D637">
        <v>1</v>
      </c>
    </row>
    <row r="638" spans="1:4">
      <c r="A638" s="31" t="s">
        <v>316</v>
      </c>
      <c r="B638" s="6" t="s">
        <v>281</v>
      </c>
      <c r="C638" s="8">
        <v>0</v>
      </c>
      <c r="D638">
        <v>2</v>
      </c>
    </row>
    <row r="639" spans="1:4">
      <c r="A639" s="31" t="s">
        <v>316</v>
      </c>
      <c r="B639" s="6" t="s">
        <v>160</v>
      </c>
      <c r="C639" s="8">
        <v>0</v>
      </c>
      <c r="D639">
        <v>3</v>
      </c>
    </row>
    <row r="640" spans="1:4">
      <c r="A640" s="31" t="s">
        <v>316</v>
      </c>
      <c r="B640" s="6" t="s">
        <v>264</v>
      </c>
      <c r="C640" s="8">
        <v>0</v>
      </c>
      <c r="D640">
        <v>4</v>
      </c>
    </row>
    <row r="641" spans="1:4">
      <c r="A641" s="31" t="s">
        <v>316</v>
      </c>
      <c r="B641" s="6" t="s">
        <v>265</v>
      </c>
      <c r="C641" s="8">
        <v>0</v>
      </c>
      <c r="D641">
        <v>5</v>
      </c>
    </row>
    <row r="642" spans="1:4">
      <c r="A642" s="31" t="s">
        <v>316</v>
      </c>
      <c r="B642" s="6" t="s">
        <v>112</v>
      </c>
      <c r="C642" s="8">
        <v>4</v>
      </c>
      <c r="D642">
        <v>6</v>
      </c>
    </row>
    <row r="643" spans="1:4">
      <c r="A643" s="31" t="s">
        <v>316</v>
      </c>
      <c r="B643" s="6" t="s">
        <v>267</v>
      </c>
      <c r="C643" s="8">
        <v>7</v>
      </c>
      <c r="D643">
        <v>7</v>
      </c>
    </row>
    <row r="644" spans="1:4">
      <c r="A644" s="31" t="s">
        <v>316</v>
      </c>
      <c r="B644" s="6" t="s">
        <v>268</v>
      </c>
      <c r="C644" s="8">
        <v>4</v>
      </c>
      <c r="D644">
        <v>8</v>
      </c>
    </row>
    <row r="645" spans="1:4">
      <c r="A645" s="31" t="s">
        <v>316</v>
      </c>
      <c r="B645" s="6" t="s">
        <v>269</v>
      </c>
      <c r="C645" s="8">
        <v>0</v>
      </c>
      <c r="D645">
        <v>9</v>
      </c>
    </row>
    <row r="646" spans="1:4">
      <c r="A646" s="31" t="s">
        <v>316</v>
      </c>
      <c r="B646" s="6" t="s">
        <v>270</v>
      </c>
      <c r="C646" s="8">
        <v>0</v>
      </c>
      <c r="D646">
        <v>10</v>
      </c>
    </row>
    <row r="647" spans="1:4">
      <c r="A647" s="31" t="s">
        <v>316</v>
      </c>
      <c r="B647" s="6" t="s">
        <v>271</v>
      </c>
      <c r="C647" s="8">
        <v>0</v>
      </c>
      <c r="D647">
        <v>11</v>
      </c>
    </row>
    <row r="648" spans="1:4">
      <c r="A648" s="31" t="s">
        <v>316</v>
      </c>
      <c r="B648" s="6" t="s">
        <v>272</v>
      </c>
      <c r="C648" s="8">
        <v>0</v>
      </c>
      <c r="D648">
        <v>12</v>
      </c>
    </row>
    <row r="649" spans="1:4">
      <c r="A649" s="31" t="s">
        <v>316</v>
      </c>
      <c r="B649" s="6" t="s">
        <v>273</v>
      </c>
      <c r="C649" s="8">
        <v>4</v>
      </c>
      <c r="D649">
        <v>13</v>
      </c>
    </row>
    <row r="650" spans="1:4">
      <c r="A650" s="31" t="s">
        <v>316</v>
      </c>
      <c r="B650" s="6" t="s">
        <v>132</v>
      </c>
      <c r="C650" s="8">
        <v>0</v>
      </c>
      <c r="D650">
        <v>14</v>
      </c>
    </row>
    <row r="651" spans="1:4">
      <c r="A651" s="31" t="s">
        <v>316</v>
      </c>
      <c r="B651" s="6" t="s">
        <v>261</v>
      </c>
      <c r="C651" s="8">
        <v>24</v>
      </c>
      <c r="D651">
        <v>15</v>
      </c>
    </row>
    <row r="652" spans="1:4">
      <c r="A652" s="31" t="s">
        <v>316</v>
      </c>
      <c r="B652" s="6" t="s">
        <v>262</v>
      </c>
      <c r="C652" s="8">
        <v>0</v>
      </c>
      <c r="D652">
        <v>16</v>
      </c>
    </row>
    <row r="653" spans="1:4">
      <c r="A653" s="31" t="s">
        <v>317</v>
      </c>
      <c r="B653" s="6" t="s">
        <v>269</v>
      </c>
      <c r="C653" s="8">
        <v>0</v>
      </c>
      <c r="D653">
        <v>1</v>
      </c>
    </row>
    <row r="654" spans="1:4">
      <c r="A654" s="31" t="s">
        <v>317</v>
      </c>
      <c r="B654" s="6" t="s">
        <v>270</v>
      </c>
      <c r="C654" s="8">
        <v>0</v>
      </c>
      <c r="D654">
        <v>2</v>
      </c>
    </row>
    <row r="655" spans="1:4">
      <c r="A655" s="31" t="s">
        <v>317</v>
      </c>
      <c r="B655" s="6" t="s">
        <v>271</v>
      </c>
      <c r="C655" s="8">
        <v>0</v>
      </c>
      <c r="D655">
        <v>3</v>
      </c>
    </row>
    <row r="656" spans="1:4">
      <c r="A656" s="31" t="s">
        <v>317</v>
      </c>
      <c r="B656" s="6" t="s">
        <v>272</v>
      </c>
      <c r="C656" s="8">
        <v>0</v>
      </c>
      <c r="D656">
        <v>4</v>
      </c>
    </row>
    <row r="657" spans="1:4">
      <c r="A657" s="31" t="s">
        <v>317</v>
      </c>
      <c r="B657" s="6" t="s">
        <v>273</v>
      </c>
      <c r="C657" s="8">
        <v>0</v>
      </c>
      <c r="D657">
        <v>5</v>
      </c>
    </row>
    <row r="658" spans="1:4">
      <c r="A658" s="31" t="s">
        <v>317</v>
      </c>
      <c r="B658" s="6" t="s">
        <v>132</v>
      </c>
      <c r="C658" s="8">
        <v>0</v>
      </c>
      <c r="D658">
        <v>6</v>
      </c>
    </row>
    <row r="659" spans="1:4">
      <c r="A659" s="31" t="s">
        <v>317</v>
      </c>
      <c r="B659" s="6" t="s">
        <v>261</v>
      </c>
      <c r="C659" s="8">
        <v>0</v>
      </c>
      <c r="D659">
        <v>7</v>
      </c>
    </row>
    <row r="660" spans="1:4">
      <c r="A660" s="31" t="s">
        <v>317</v>
      </c>
      <c r="B660" s="6" t="s">
        <v>262</v>
      </c>
      <c r="C660" s="8">
        <v>0</v>
      </c>
      <c r="D660">
        <v>8</v>
      </c>
    </row>
    <row r="661" spans="1:4">
      <c r="A661" s="31" t="s">
        <v>318</v>
      </c>
      <c r="B661" s="6" t="s">
        <v>262</v>
      </c>
      <c r="C661" s="8">
        <v>0</v>
      </c>
      <c r="D661">
        <v>1</v>
      </c>
    </row>
    <row r="662" spans="1:4">
      <c r="A662" s="31" t="s">
        <v>318</v>
      </c>
      <c r="B662" s="6" t="s">
        <v>303</v>
      </c>
      <c r="C662" s="8">
        <v>14</v>
      </c>
      <c r="D662">
        <v>2</v>
      </c>
    </row>
    <row r="663" spans="1:4">
      <c r="A663" s="31" t="s">
        <v>318</v>
      </c>
      <c r="B663" s="6" t="s">
        <v>296</v>
      </c>
      <c r="C663" s="8">
        <v>0</v>
      </c>
      <c r="D663">
        <v>3</v>
      </c>
    </row>
    <row r="664" spans="1:4">
      <c r="A664" s="31" t="s">
        <v>319</v>
      </c>
      <c r="B664" s="6" t="s">
        <v>112</v>
      </c>
      <c r="C664" s="8">
        <v>0</v>
      </c>
      <c r="D664">
        <v>1</v>
      </c>
    </row>
    <row r="665" spans="1:4">
      <c r="A665" s="31" t="s">
        <v>319</v>
      </c>
      <c r="B665" s="6" t="s">
        <v>267</v>
      </c>
      <c r="C665" s="8">
        <v>0</v>
      </c>
      <c r="D665">
        <v>2</v>
      </c>
    </row>
    <row r="666" spans="1:4">
      <c r="A666" s="31" t="s">
        <v>319</v>
      </c>
      <c r="B666" s="6" t="s">
        <v>268</v>
      </c>
      <c r="C666" s="8">
        <v>54</v>
      </c>
      <c r="D666">
        <v>3</v>
      </c>
    </row>
    <row r="667" spans="1:4">
      <c r="A667" s="31" t="s">
        <v>319</v>
      </c>
      <c r="B667" s="6" t="s">
        <v>269</v>
      </c>
      <c r="C667" s="8">
        <v>0</v>
      </c>
      <c r="D667">
        <v>4</v>
      </c>
    </row>
    <row r="668" spans="1:4">
      <c r="A668" s="31" t="s">
        <v>319</v>
      </c>
      <c r="B668" s="6" t="s">
        <v>270</v>
      </c>
      <c r="C668" s="8">
        <v>0</v>
      </c>
      <c r="D668">
        <v>5</v>
      </c>
    </row>
    <row r="669" spans="1:4">
      <c r="A669" s="31" t="s">
        <v>319</v>
      </c>
      <c r="B669" s="6" t="s">
        <v>271</v>
      </c>
      <c r="C669" s="8">
        <v>0</v>
      </c>
      <c r="D669">
        <v>6</v>
      </c>
    </row>
    <row r="670" spans="1:4">
      <c r="A670" s="31" t="s">
        <v>319</v>
      </c>
      <c r="B670" s="6" t="s">
        <v>272</v>
      </c>
      <c r="C670" s="8">
        <v>0</v>
      </c>
      <c r="D670">
        <v>7</v>
      </c>
    </row>
    <row r="671" spans="1:4">
      <c r="A671" s="31" t="s">
        <v>319</v>
      </c>
      <c r="B671" s="6" t="s">
        <v>273</v>
      </c>
      <c r="C671" s="8">
        <v>8</v>
      </c>
      <c r="D671">
        <v>8</v>
      </c>
    </row>
    <row r="672" spans="1:4">
      <c r="A672" s="31" t="s">
        <v>319</v>
      </c>
      <c r="B672" s="6" t="s">
        <v>132</v>
      </c>
      <c r="C672" s="8">
        <v>20</v>
      </c>
      <c r="D672">
        <v>9</v>
      </c>
    </row>
    <row r="673" spans="1:4">
      <c r="A673" s="31" t="s">
        <v>319</v>
      </c>
      <c r="B673" s="6" t="s">
        <v>261</v>
      </c>
      <c r="C673" s="8">
        <v>0</v>
      </c>
      <c r="D673">
        <v>10</v>
      </c>
    </row>
    <row r="674" spans="1:4">
      <c r="A674" s="31" t="s">
        <v>320</v>
      </c>
      <c r="B674" s="6" t="s">
        <v>279</v>
      </c>
      <c r="C674" s="8">
        <v>0</v>
      </c>
      <c r="D674">
        <v>1</v>
      </c>
    </row>
    <row r="675" spans="1:4">
      <c r="A675" s="31" t="s">
        <v>320</v>
      </c>
      <c r="B675" s="6" t="s">
        <v>321</v>
      </c>
      <c r="C675" s="8">
        <v>0</v>
      </c>
      <c r="D675">
        <v>2</v>
      </c>
    </row>
    <row r="676" spans="1:4">
      <c r="A676" s="31" t="s">
        <v>322</v>
      </c>
      <c r="B676" s="6" t="s">
        <v>321</v>
      </c>
      <c r="C676" s="8">
        <v>0</v>
      </c>
      <c r="D676">
        <v>1</v>
      </c>
    </row>
    <row r="677" spans="1:4">
      <c r="A677" s="31" t="s">
        <v>323</v>
      </c>
      <c r="B677" s="6" t="s">
        <v>324</v>
      </c>
      <c r="C677" s="8">
        <v>0</v>
      </c>
      <c r="D677">
        <v>1</v>
      </c>
    </row>
    <row r="678" spans="1:4">
      <c r="A678" s="31" t="s">
        <v>325</v>
      </c>
      <c r="B678" s="6" t="s">
        <v>326</v>
      </c>
      <c r="C678" s="8">
        <v>0</v>
      </c>
      <c r="D678">
        <v>1</v>
      </c>
    </row>
    <row r="679" spans="1:4">
      <c r="A679" s="31" t="s">
        <v>325</v>
      </c>
      <c r="B679" s="6" t="s">
        <v>327</v>
      </c>
      <c r="C679" s="8">
        <v>0</v>
      </c>
      <c r="D679">
        <v>2</v>
      </c>
    </row>
    <row r="680" spans="1:4">
      <c r="A680" s="31" t="s">
        <v>328</v>
      </c>
      <c r="B680" s="6" t="s">
        <v>326</v>
      </c>
      <c r="C680" s="8">
        <v>0</v>
      </c>
      <c r="D680">
        <v>1</v>
      </c>
    </row>
    <row r="681" spans="1:4">
      <c r="A681" s="31" t="s">
        <v>328</v>
      </c>
      <c r="B681" s="6" t="s">
        <v>327</v>
      </c>
      <c r="C681" s="8">
        <v>0</v>
      </c>
      <c r="D681">
        <v>2</v>
      </c>
    </row>
    <row r="682" spans="1:4">
      <c r="A682" s="31" t="s">
        <v>329</v>
      </c>
      <c r="B682" s="6" t="s">
        <v>330</v>
      </c>
      <c r="C682" s="8">
        <v>0</v>
      </c>
      <c r="D682">
        <v>1</v>
      </c>
    </row>
    <row r="683" spans="1:4">
      <c r="A683" s="31" t="s">
        <v>331</v>
      </c>
      <c r="B683" s="6" t="s">
        <v>332</v>
      </c>
      <c r="C683" s="8">
        <v>0</v>
      </c>
      <c r="D683">
        <v>1</v>
      </c>
    </row>
    <row r="684" spans="1:4">
      <c r="A684" s="31" t="s">
        <v>331</v>
      </c>
      <c r="B684" s="6" t="s">
        <v>333</v>
      </c>
      <c r="C684" s="8">
        <v>0</v>
      </c>
      <c r="D684">
        <v>2</v>
      </c>
    </row>
    <row r="685" spans="1:4">
      <c r="A685" s="31" t="s">
        <v>334</v>
      </c>
      <c r="B685" s="6" t="s">
        <v>229</v>
      </c>
      <c r="C685" s="8">
        <v>15</v>
      </c>
      <c r="D685">
        <v>1</v>
      </c>
    </row>
    <row r="686" spans="1:4">
      <c r="A686" s="31" t="s">
        <v>335</v>
      </c>
      <c r="B686" s="6" t="s">
        <v>229</v>
      </c>
      <c r="C686" s="8">
        <v>6</v>
      </c>
      <c r="D686">
        <v>1</v>
      </c>
    </row>
    <row r="687" spans="1:4">
      <c r="A687" s="31" t="s">
        <v>336</v>
      </c>
      <c r="B687" s="6" t="s">
        <v>337</v>
      </c>
      <c r="C687" s="8">
        <v>0</v>
      </c>
      <c r="D687">
        <v>1</v>
      </c>
    </row>
    <row r="688" spans="1:4">
      <c r="A688" s="31" t="s">
        <v>338</v>
      </c>
      <c r="B688" s="6" t="s">
        <v>339</v>
      </c>
      <c r="C688" s="8">
        <v>0</v>
      </c>
      <c r="D688">
        <v>1</v>
      </c>
    </row>
    <row r="689" spans="1:4">
      <c r="A689" s="31" t="s">
        <v>338</v>
      </c>
      <c r="B689" s="6" t="s">
        <v>340</v>
      </c>
      <c r="C689" s="8">
        <v>0</v>
      </c>
      <c r="D689">
        <v>2</v>
      </c>
    </row>
    <row r="690" spans="1:4">
      <c r="A690" s="31" t="s">
        <v>341</v>
      </c>
      <c r="B690" s="6" t="s">
        <v>342</v>
      </c>
      <c r="C690" s="8">
        <v>0</v>
      </c>
      <c r="D690">
        <v>1</v>
      </c>
    </row>
    <row r="691" spans="1:4">
      <c r="A691" s="31" t="s">
        <v>343</v>
      </c>
      <c r="B691" s="6" t="s">
        <v>344</v>
      </c>
      <c r="C691" s="8">
        <v>0</v>
      </c>
      <c r="D691">
        <v>1</v>
      </c>
    </row>
    <row r="692" spans="1:4">
      <c r="A692" s="31" t="s">
        <v>343</v>
      </c>
      <c r="B692" s="6" t="s">
        <v>345</v>
      </c>
      <c r="C692" s="8">
        <v>10</v>
      </c>
      <c r="D692">
        <v>2</v>
      </c>
    </row>
    <row r="693" spans="1:4">
      <c r="A693" s="31" t="s">
        <v>343</v>
      </c>
      <c r="B693" s="6" t="s">
        <v>346</v>
      </c>
      <c r="C693" s="8">
        <v>0</v>
      </c>
      <c r="D693">
        <v>3</v>
      </c>
    </row>
    <row r="694" spans="1:4">
      <c r="A694" s="31" t="s">
        <v>343</v>
      </c>
      <c r="B694" s="6" t="s">
        <v>347</v>
      </c>
      <c r="C694" s="8">
        <v>0</v>
      </c>
      <c r="D694">
        <v>4</v>
      </c>
    </row>
    <row r="695" spans="1:4">
      <c r="A695" s="31" t="s">
        <v>348</v>
      </c>
      <c r="B695" s="6" t="s">
        <v>349</v>
      </c>
      <c r="C695" s="8">
        <v>0</v>
      </c>
      <c r="D695">
        <v>1</v>
      </c>
    </row>
    <row r="696" spans="1:4">
      <c r="A696" s="31" t="s">
        <v>350</v>
      </c>
      <c r="B696" s="6" t="s">
        <v>351</v>
      </c>
      <c r="C696" s="8">
        <v>0</v>
      </c>
      <c r="D696">
        <v>1</v>
      </c>
    </row>
    <row r="697" spans="1:4">
      <c r="A697" s="31" t="s">
        <v>350</v>
      </c>
      <c r="B697" s="6" t="s">
        <v>352</v>
      </c>
      <c r="C697" s="8">
        <v>0</v>
      </c>
      <c r="D697">
        <v>2</v>
      </c>
    </row>
    <row r="698" spans="1:4">
      <c r="A698" s="31" t="s">
        <v>350</v>
      </c>
      <c r="B698" s="6" t="s">
        <v>353</v>
      </c>
      <c r="C698" s="8">
        <v>0</v>
      </c>
      <c r="D698">
        <v>3</v>
      </c>
    </row>
    <row r="699" spans="1:4">
      <c r="A699" s="31" t="s">
        <v>350</v>
      </c>
      <c r="B699" s="6" t="s">
        <v>354</v>
      </c>
      <c r="C699" s="8">
        <v>0</v>
      </c>
      <c r="D699">
        <v>4</v>
      </c>
    </row>
    <row r="700" spans="1:4">
      <c r="A700" s="31" t="s">
        <v>355</v>
      </c>
      <c r="B700" s="6" t="s">
        <v>356</v>
      </c>
      <c r="C700" s="8">
        <v>0</v>
      </c>
      <c r="D700">
        <v>1</v>
      </c>
    </row>
    <row r="701" spans="1:4">
      <c r="A701" s="31" t="s">
        <v>355</v>
      </c>
      <c r="B701" s="6" t="s">
        <v>352</v>
      </c>
      <c r="C701" s="8">
        <v>0</v>
      </c>
      <c r="D701">
        <v>2</v>
      </c>
    </row>
    <row r="702" spans="1:4">
      <c r="A702" s="31" t="s">
        <v>355</v>
      </c>
      <c r="B702" s="6" t="s">
        <v>353</v>
      </c>
      <c r="C702" s="8">
        <v>0</v>
      </c>
      <c r="D702">
        <v>3</v>
      </c>
    </row>
    <row r="703" spans="1:4">
      <c r="A703" s="31" t="s">
        <v>355</v>
      </c>
      <c r="B703" s="6" t="s">
        <v>354</v>
      </c>
      <c r="C703" s="8">
        <v>0</v>
      </c>
      <c r="D703">
        <v>4</v>
      </c>
    </row>
    <row r="704" spans="1:4">
      <c r="A704" s="31" t="s">
        <v>355</v>
      </c>
      <c r="B704" s="6" t="s">
        <v>357</v>
      </c>
      <c r="C704" s="8">
        <v>0</v>
      </c>
      <c r="D704">
        <v>5</v>
      </c>
    </row>
    <row r="705" spans="1:4">
      <c r="A705" s="31" t="s">
        <v>358</v>
      </c>
      <c r="B705" s="6" t="s">
        <v>359</v>
      </c>
      <c r="C705" s="8">
        <v>0</v>
      </c>
      <c r="D705">
        <v>1</v>
      </c>
    </row>
    <row r="706" spans="1:4">
      <c r="A706" s="31" t="s">
        <v>358</v>
      </c>
      <c r="B706" s="6" t="s">
        <v>352</v>
      </c>
      <c r="C706" s="8">
        <v>0</v>
      </c>
      <c r="D706">
        <v>2</v>
      </c>
    </row>
    <row r="707" spans="1:4">
      <c r="A707" s="31" t="s">
        <v>358</v>
      </c>
      <c r="B707" s="6" t="s">
        <v>353</v>
      </c>
      <c r="C707" s="8">
        <v>0</v>
      </c>
      <c r="D707">
        <v>3</v>
      </c>
    </row>
    <row r="708" spans="1:4">
      <c r="A708" s="31" t="s">
        <v>358</v>
      </c>
      <c r="B708" s="6" t="s">
        <v>354</v>
      </c>
      <c r="C708" s="8">
        <v>0</v>
      </c>
      <c r="D708">
        <v>4</v>
      </c>
    </row>
    <row r="709" spans="1:4">
      <c r="A709" s="31" t="s">
        <v>358</v>
      </c>
      <c r="B709" s="6" t="s">
        <v>357</v>
      </c>
      <c r="C709" s="8">
        <v>0</v>
      </c>
      <c r="D709">
        <v>5</v>
      </c>
    </row>
    <row r="710" spans="1:4">
      <c r="A710" s="31" t="s">
        <v>360</v>
      </c>
      <c r="B710" s="6" t="s">
        <v>361</v>
      </c>
      <c r="C710" s="8">
        <v>0</v>
      </c>
      <c r="D710">
        <v>1</v>
      </c>
    </row>
    <row r="711" spans="1:4">
      <c r="A711" s="31" t="s">
        <v>360</v>
      </c>
      <c r="B711" s="6" t="s">
        <v>362</v>
      </c>
      <c r="C711" s="8">
        <v>0</v>
      </c>
      <c r="D711">
        <v>2</v>
      </c>
    </row>
    <row r="712" spans="1:4">
      <c r="A712" s="31" t="s">
        <v>360</v>
      </c>
      <c r="B712" s="6" t="s">
        <v>363</v>
      </c>
      <c r="C712" s="8">
        <v>0</v>
      </c>
      <c r="D712">
        <v>3</v>
      </c>
    </row>
    <row r="713" spans="1:4">
      <c r="A713" s="31" t="s">
        <v>364</v>
      </c>
      <c r="B713" s="6" t="s">
        <v>365</v>
      </c>
      <c r="C713" s="8">
        <v>0</v>
      </c>
      <c r="D713">
        <v>1</v>
      </c>
    </row>
    <row r="714" spans="1:4">
      <c r="A714" s="31" t="s">
        <v>366</v>
      </c>
      <c r="B714" s="6" t="s">
        <v>367</v>
      </c>
      <c r="C714" s="8">
        <v>0</v>
      </c>
      <c r="D714">
        <v>1</v>
      </c>
    </row>
    <row r="715" spans="1:4">
      <c r="A715" s="31" t="s">
        <v>366</v>
      </c>
      <c r="B715" s="6" t="s">
        <v>368</v>
      </c>
      <c r="C715" s="8">
        <v>0</v>
      </c>
      <c r="D715">
        <v>2</v>
      </c>
    </row>
    <row r="716" spans="1:4">
      <c r="A716" s="31" t="s">
        <v>366</v>
      </c>
      <c r="B716" s="6" t="s">
        <v>369</v>
      </c>
      <c r="C716" s="8">
        <v>1</v>
      </c>
      <c r="D716">
        <v>3</v>
      </c>
    </row>
    <row r="717" spans="1:4">
      <c r="A717" s="31" t="s">
        <v>366</v>
      </c>
      <c r="B717" s="6" t="s">
        <v>370</v>
      </c>
      <c r="C717" s="8">
        <v>0</v>
      </c>
      <c r="D717">
        <v>4</v>
      </c>
    </row>
    <row r="718" spans="1:4">
      <c r="A718" s="31" t="s">
        <v>366</v>
      </c>
      <c r="B718" s="6" t="s">
        <v>371</v>
      </c>
      <c r="C718" s="8">
        <v>0</v>
      </c>
      <c r="D718">
        <v>5</v>
      </c>
    </row>
    <row r="719" spans="1:4">
      <c r="A719" s="31" t="s">
        <v>366</v>
      </c>
      <c r="B719" s="6" t="s">
        <v>372</v>
      </c>
      <c r="C719" s="8">
        <v>0</v>
      </c>
      <c r="D719">
        <v>6</v>
      </c>
    </row>
    <row r="720" spans="1:4">
      <c r="A720" s="31" t="s">
        <v>373</v>
      </c>
      <c r="B720" s="6" t="s">
        <v>368</v>
      </c>
      <c r="C720" s="8">
        <v>0</v>
      </c>
      <c r="D720">
        <v>1</v>
      </c>
    </row>
    <row r="721" spans="1:4">
      <c r="A721" s="31" t="s">
        <v>373</v>
      </c>
      <c r="B721" s="6" t="s">
        <v>370</v>
      </c>
      <c r="C721" s="8">
        <v>0</v>
      </c>
      <c r="D721">
        <v>2</v>
      </c>
    </row>
    <row r="722" spans="1:4">
      <c r="A722" s="31" t="s">
        <v>373</v>
      </c>
      <c r="B722" s="6" t="s">
        <v>371</v>
      </c>
      <c r="C722" s="8">
        <v>0</v>
      </c>
      <c r="D722">
        <v>3</v>
      </c>
    </row>
    <row r="723" spans="1:4">
      <c r="A723" s="31" t="s">
        <v>374</v>
      </c>
      <c r="B723" s="6" t="s">
        <v>375</v>
      </c>
      <c r="C723" s="8">
        <v>0</v>
      </c>
      <c r="D723">
        <v>1</v>
      </c>
    </row>
    <row r="724" spans="1:4">
      <c r="A724" s="31" t="s">
        <v>376</v>
      </c>
      <c r="B724" s="6" t="s">
        <v>377</v>
      </c>
      <c r="C724" s="8">
        <v>12</v>
      </c>
      <c r="D724">
        <v>1</v>
      </c>
    </row>
    <row r="725" spans="1:4">
      <c r="A725" s="31" t="s">
        <v>378</v>
      </c>
      <c r="B725" s="6" t="s">
        <v>379</v>
      </c>
      <c r="C725" s="8">
        <v>0</v>
      </c>
      <c r="D725">
        <v>1</v>
      </c>
    </row>
    <row r="726" spans="1:4">
      <c r="A726" s="31" t="s">
        <v>380</v>
      </c>
      <c r="B726" s="6" t="s">
        <v>379</v>
      </c>
      <c r="C726" s="8">
        <v>0</v>
      </c>
      <c r="D726">
        <v>1</v>
      </c>
    </row>
    <row r="727" spans="1:4">
      <c r="A727" s="31" t="s">
        <v>381</v>
      </c>
      <c r="B727" s="6" t="s">
        <v>382</v>
      </c>
      <c r="C727" s="8">
        <v>0</v>
      </c>
      <c r="D727">
        <v>1</v>
      </c>
    </row>
    <row r="728" spans="1:4">
      <c r="A728" s="31" t="s">
        <v>383</v>
      </c>
      <c r="B728" s="6" t="s">
        <v>382</v>
      </c>
      <c r="C728" s="8">
        <v>0</v>
      </c>
      <c r="D728">
        <v>1</v>
      </c>
    </row>
    <row r="729" spans="1:4">
      <c r="A729" s="31" t="s">
        <v>384</v>
      </c>
      <c r="B729" s="6" t="s">
        <v>382</v>
      </c>
      <c r="C729" s="8">
        <v>0</v>
      </c>
      <c r="D729">
        <v>1</v>
      </c>
    </row>
    <row r="730" spans="1:4">
      <c r="A730" s="31" t="s">
        <v>385</v>
      </c>
      <c r="B730" s="6" t="s">
        <v>386</v>
      </c>
      <c r="C730" s="8">
        <v>0</v>
      </c>
      <c r="D730">
        <v>1</v>
      </c>
    </row>
    <row r="731" spans="1:4">
      <c r="A731" s="31" t="s">
        <v>387</v>
      </c>
      <c r="B731" s="6" t="s">
        <v>388</v>
      </c>
      <c r="C731" s="8">
        <v>0</v>
      </c>
      <c r="D731">
        <v>1</v>
      </c>
    </row>
    <row r="732" spans="1:4">
      <c r="A732" s="31" t="s">
        <v>387</v>
      </c>
      <c r="B732" s="6" t="s">
        <v>4</v>
      </c>
      <c r="C732" s="8">
        <v>0</v>
      </c>
      <c r="D732">
        <v>2</v>
      </c>
    </row>
    <row r="733" spans="1:4">
      <c r="A733" s="31" t="s">
        <v>387</v>
      </c>
      <c r="B733" s="6" t="s">
        <v>324</v>
      </c>
      <c r="C733" s="8">
        <v>0</v>
      </c>
      <c r="D733">
        <v>3</v>
      </c>
    </row>
    <row r="734" spans="1:4">
      <c r="A734" s="31" t="s">
        <v>389</v>
      </c>
      <c r="B734" s="6" t="s">
        <v>390</v>
      </c>
      <c r="C734" s="8">
        <v>0</v>
      </c>
      <c r="D734">
        <v>1</v>
      </c>
    </row>
    <row r="735" spans="1:4">
      <c r="A735" s="31" t="s">
        <v>389</v>
      </c>
      <c r="B735" s="6" t="s">
        <v>4</v>
      </c>
      <c r="C735" s="8">
        <v>0</v>
      </c>
      <c r="D735">
        <v>2</v>
      </c>
    </row>
    <row r="736" spans="1:4">
      <c r="A736" s="31" t="s">
        <v>389</v>
      </c>
      <c r="B736" s="6" t="s">
        <v>324</v>
      </c>
      <c r="C736" s="8">
        <v>0</v>
      </c>
      <c r="D736">
        <v>3</v>
      </c>
    </row>
    <row r="737" spans="1:4">
      <c r="A737" s="31" t="s">
        <v>391</v>
      </c>
      <c r="B737" s="6" t="s">
        <v>392</v>
      </c>
      <c r="C737" s="8">
        <v>0</v>
      </c>
      <c r="D737">
        <v>1</v>
      </c>
    </row>
    <row r="738" spans="1:4">
      <c r="A738" s="31" t="s">
        <v>393</v>
      </c>
      <c r="B738" s="6" t="s">
        <v>394</v>
      </c>
      <c r="C738" s="8">
        <v>0</v>
      </c>
      <c r="D738">
        <v>1</v>
      </c>
    </row>
    <row r="739" spans="1:4">
      <c r="A739" s="31" t="s">
        <v>395</v>
      </c>
      <c r="B739" s="6" t="s">
        <v>396</v>
      </c>
      <c r="C739" s="8">
        <v>2</v>
      </c>
      <c r="D739">
        <v>1</v>
      </c>
    </row>
    <row r="740" spans="1:4">
      <c r="A740" s="31" t="s">
        <v>395</v>
      </c>
      <c r="B740" s="6" t="s">
        <v>397</v>
      </c>
      <c r="C740" s="8">
        <v>0</v>
      </c>
      <c r="D740">
        <v>2</v>
      </c>
    </row>
    <row r="741" spans="1:4">
      <c r="A741" s="31" t="s">
        <v>398</v>
      </c>
      <c r="B741" s="6" t="s">
        <v>399</v>
      </c>
      <c r="C741" s="8">
        <v>1</v>
      </c>
      <c r="D741">
        <v>1</v>
      </c>
    </row>
    <row r="742" spans="1:4">
      <c r="A742" s="31" t="s">
        <v>400</v>
      </c>
      <c r="B742" s="6" t="s">
        <v>401</v>
      </c>
      <c r="C742" s="8">
        <v>4</v>
      </c>
      <c r="D742">
        <v>1</v>
      </c>
    </row>
    <row r="743" spans="1:4">
      <c r="A743" s="31" t="s">
        <v>402</v>
      </c>
      <c r="B743" s="6" t="s">
        <v>399</v>
      </c>
      <c r="C743" s="8">
        <v>17</v>
      </c>
      <c r="D743">
        <v>1</v>
      </c>
    </row>
    <row r="744" spans="1:4">
      <c r="A744" s="31" t="s">
        <v>403</v>
      </c>
      <c r="B744" s="6" t="s">
        <v>404</v>
      </c>
      <c r="C744" s="8">
        <v>0</v>
      </c>
      <c r="D744">
        <v>1</v>
      </c>
    </row>
    <row r="745" spans="1:4">
      <c r="A745" s="31" t="s">
        <v>405</v>
      </c>
      <c r="B745" s="6" t="s">
        <v>406</v>
      </c>
      <c r="C745" s="8">
        <v>7</v>
      </c>
      <c r="D745">
        <v>1</v>
      </c>
    </row>
    <row r="746" spans="1:4">
      <c r="A746" s="31" t="s">
        <v>405</v>
      </c>
      <c r="B746" s="6" t="s">
        <v>407</v>
      </c>
      <c r="C746" s="8">
        <v>0</v>
      </c>
      <c r="D746">
        <v>2</v>
      </c>
    </row>
    <row r="747" spans="1:4">
      <c r="A747" s="31" t="s">
        <v>405</v>
      </c>
      <c r="B747" s="6" t="s">
        <v>408</v>
      </c>
      <c r="C747" s="8">
        <v>0</v>
      </c>
      <c r="D747">
        <v>3</v>
      </c>
    </row>
    <row r="748" spans="1:4">
      <c r="A748" s="31" t="s">
        <v>409</v>
      </c>
      <c r="B748" s="6" t="s">
        <v>410</v>
      </c>
      <c r="C748" s="8">
        <v>0</v>
      </c>
      <c r="D748">
        <v>1</v>
      </c>
    </row>
    <row r="749" spans="1:4">
      <c r="A749" s="31" t="s">
        <v>411</v>
      </c>
      <c r="B749" s="6" t="s">
        <v>412</v>
      </c>
      <c r="C749" s="8">
        <v>13</v>
      </c>
      <c r="D749">
        <v>1</v>
      </c>
    </row>
    <row r="750" spans="1:4">
      <c r="A750" s="31" t="s">
        <v>411</v>
      </c>
      <c r="B750" s="6" t="s">
        <v>413</v>
      </c>
      <c r="C750" s="8">
        <v>0</v>
      </c>
      <c r="D750">
        <v>2</v>
      </c>
    </row>
    <row r="751" spans="1:4">
      <c r="A751" s="31" t="s">
        <v>411</v>
      </c>
      <c r="B751" s="6" t="s">
        <v>191</v>
      </c>
      <c r="C751" s="8">
        <v>0</v>
      </c>
      <c r="D751">
        <v>3</v>
      </c>
    </row>
    <row r="752" spans="1:4">
      <c r="A752" s="31" t="s">
        <v>411</v>
      </c>
      <c r="B752" s="6" t="s">
        <v>414</v>
      </c>
      <c r="C752" s="8">
        <v>16</v>
      </c>
      <c r="D752">
        <v>4</v>
      </c>
    </row>
    <row r="753" spans="1:4">
      <c r="A753" s="31" t="s">
        <v>411</v>
      </c>
      <c r="B753" s="6" t="s">
        <v>244</v>
      </c>
      <c r="C753" s="8">
        <v>0</v>
      </c>
      <c r="D753">
        <v>5</v>
      </c>
    </row>
    <row r="754" spans="1:4">
      <c r="A754" s="31" t="s">
        <v>415</v>
      </c>
      <c r="B754" s="6" t="s">
        <v>416</v>
      </c>
      <c r="C754" s="8">
        <v>0</v>
      </c>
      <c r="D754">
        <v>1</v>
      </c>
    </row>
    <row r="755" spans="1:4">
      <c r="A755" s="31" t="s">
        <v>417</v>
      </c>
      <c r="B755" s="6" t="s">
        <v>418</v>
      </c>
      <c r="C755" s="8">
        <v>0</v>
      </c>
      <c r="D755">
        <v>1</v>
      </c>
    </row>
    <row r="756" spans="1:4">
      <c r="A756" s="31" t="s">
        <v>419</v>
      </c>
      <c r="B756" s="6" t="s">
        <v>420</v>
      </c>
      <c r="C756" s="8">
        <v>0</v>
      </c>
      <c r="D756">
        <v>1</v>
      </c>
    </row>
    <row r="757" spans="1:4">
      <c r="A757" s="31" t="s">
        <v>419</v>
      </c>
      <c r="B757" s="6" t="s">
        <v>421</v>
      </c>
      <c r="C757" s="8">
        <v>0</v>
      </c>
      <c r="D757">
        <v>2</v>
      </c>
    </row>
    <row r="758" spans="1:4">
      <c r="A758" s="31" t="s">
        <v>422</v>
      </c>
      <c r="B758" s="6" t="s">
        <v>423</v>
      </c>
      <c r="C758" s="8">
        <v>0</v>
      </c>
      <c r="D758">
        <v>1</v>
      </c>
    </row>
    <row r="759" spans="1:4">
      <c r="A759" s="31" t="s">
        <v>422</v>
      </c>
      <c r="B759" s="6" t="s">
        <v>424</v>
      </c>
      <c r="C759" s="8">
        <v>0</v>
      </c>
      <c r="D759">
        <v>2</v>
      </c>
    </row>
    <row r="760" spans="1:4">
      <c r="A760" s="31" t="s">
        <v>425</v>
      </c>
      <c r="B760" s="6" t="s">
        <v>426</v>
      </c>
      <c r="C760" s="8">
        <v>4</v>
      </c>
      <c r="D760">
        <v>1</v>
      </c>
    </row>
    <row r="761" spans="1:4">
      <c r="A761" s="31" t="s">
        <v>427</v>
      </c>
      <c r="B761" s="6" t="s">
        <v>423</v>
      </c>
      <c r="C761" s="8">
        <v>0</v>
      </c>
      <c r="D761">
        <v>1</v>
      </c>
    </row>
    <row r="762" spans="1:4">
      <c r="A762" s="31" t="s">
        <v>427</v>
      </c>
      <c r="B762" s="6" t="s">
        <v>424</v>
      </c>
      <c r="C762" s="8">
        <v>0</v>
      </c>
      <c r="D762">
        <v>2</v>
      </c>
    </row>
    <row r="763" spans="1:4">
      <c r="A763" s="31" t="s">
        <v>428</v>
      </c>
      <c r="B763" s="6" t="s">
        <v>429</v>
      </c>
      <c r="C763" s="8">
        <v>0</v>
      </c>
      <c r="D763">
        <v>1</v>
      </c>
    </row>
    <row r="764" spans="1:4">
      <c r="A764" s="31" t="s">
        <v>428</v>
      </c>
      <c r="B764" s="6" t="s">
        <v>430</v>
      </c>
      <c r="C764" s="8">
        <v>0</v>
      </c>
      <c r="D764">
        <v>2</v>
      </c>
    </row>
    <row r="765" spans="1:4">
      <c r="A765" s="31" t="s">
        <v>428</v>
      </c>
      <c r="B765" s="6" t="s">
        <v>431</v>
      </c>
      <c r="C765" s="8">
        <v>0</v>
      </c>
      <c r="D765">
        <v>3</v>
      </c>
    </row>
    <row r="766" spans="1:4">
      <c r="A766" s="31" t="s">
        <v>432</v>
      </c>
      <c r="B766" s="6" t="s">
        <v>429</v>
      </c>
      <c r="C766" s="8">
        <v>1</v>
      </c>
      <c r="D766">
        <v>1</v>
      </c>
    </row>
    <row r="767" spans="1:4">
      <c r="A767" s="31" t="s">
        <v>432</v>
      </c>
      <c r="B767" s="6" t="s">
        <v>424</v>
      </c>
      <c r="C767" s="8">
        <v>0</v>
      </c>
      <c r="D767">
        <v>2</v>
      </c>
    </row>
    <row r="768" spans="1:4">
      <c r="A768" s="31" t="s">
        <v>433</v>
      </c>
      <c r="B768" s="6" t="s">
        <v>429</v>
      </c>
      <c r="C768" s="8">
        <v>0</v>
      </c>
      <c r="D768">
        <v>1</v>
      </c>
    </row>
    <row r="769" spans="1:4">
      <c r="A769" s="31" t="s">
        <v>433</v>
      </c>
      <c r="B769" s="6" t="s">
        <v>424</v>
      </c>
      <c r="C769" s="8">
        <v>0</v>
      </c>
      <c r="D769">
        <v>2</v>
      </c>
    </row>
    <row r="770" spans="1:4">
      <c r="A770" s="31" t="s">
        <v>434</v>
      </c>
      <c r="B770" s="6" t="s">
        <v>435</v>
      </c>
      <c r="C770" s="8">
        <v>0</v>
      </c>
      <c r="D770">
        <v>1</v>
      </c>
    </row>
    <row r="771" spans="1:4">
      <c r="A771" s="31" t="s">
        <v>434</v>
      </c>
      <c r="B771" s="6" t="s">
        <v>424</v>
      </c>
      <c r="C771" s="8">
        <v>0</v>
      </c>
      <c r="D771">
        <v>2</v>
      </c>
    </row>
    <row r="772" spans="1:4">
      <c r="A772" s="31" t="s">
        <v>436</v>
      </c>
      <c r="B772" s="6" t="s">
        <v>435</v>
      </c>
      <c r="C772" s="8">
        <v>1</v>
      </c>
      <c r="D772">
        <v>1</v>
      </c>
    </row>
    <row r="773" spans="1:4">
      <c r="A773" s="31" t="s">
        <v>436</v>
      </c>
      <c r="B773" s="6" t="s">
        <v>424</v>
      </c>
      <c r="C773" s="8">
        <v>2</v>
      </c>
      <c r="D773">
        <v>2</v>
      </c>
    </row>
    <row r="774" spans="1:4">
      <c r="A774" s="31" t="s">
        <v>437</v>
      </c>
      <c r="B774" s="6" t="s">
        <v>429</v>
      </c>
      <c r="C774" s="8">
        <v>0</v>
      </c>
      <c r="D774">
        <v>1</v>
      </c>
    </row>
    <row r="775" spans="1:4">
      <c r="A775" s="31" t="s">
        <v>437</v>
      </c>
      <c r="B775" s="6" t="s">
        <v>424</v>
      </c>
      <c r="C775" s="8">
        <v>0</v>
      </c>
      <c r="D775">
        <v>2</v>
      </c>
    </row>
    <row r="776" spans="1:4">
      <c r="A776" s="31" t="s">
        <v>438</v>
      </c>
      <c r="B776" s="6" t="s">
        <v>424</v>
      </c>
      <c r="C776" s="8">
        <v>0</v>
      </c>
      <c r="D776">
        <v>1</v>
      </c>
    </row>
    <row r="777" spans="1:4">
      <c r="A777" s="31" t="s">
        <v>439</v>
      </c>
      <c r="B777" s="6" t="s">
        <v>429</v>
      </c>
      <c r="C777" s="8">
        <v>0</v>
      </c>
      <c r="D777">
        <v>1</v>
      </c>
    </row>
    <row r="778" spans="1:4">
      <c r="A778" s="31" t="s">
        <v>439</v>
      </c>
      <c r="B778" s="6" t="s">
        <v>424</v>
      </c>
      <c r="C778" s="8">
        <v>0</v>
      </c>
      <c r="D778">
        <v>2</v>
      </c>
    </row>
    <row r="779" spans="1:4">
      <c r="A779" s="31" t="s">
        <v>440</v>
      </c>
      <c r="B779" s="6" t="s">
        <v>435</v>
      </c>
      <c r="C779" s="8">
        <v>0</v>
      </c>
      <c r="D779">
        <v>1</v>
      </c>
    </row>
    <row r="780" spans="1:4">
      <c r="A780" s="31" t="s">
        <v>440</v>
      </c>
      <c r="B780" s="6" t="s">
        <v>424</v>
      </c>
      <c r="C780" s="8">
        <v>0</v>
      </c>
      <c r="D780">
        <v>2</v>
      </c>
    </row>
    <row r="781" spans="1:4">
      <c r="A781" s="31" t="s">
        <v>441</v>
      </c>
      <c r="B781" s="6" t="s">
        <v>442</v>
      </c>
      <c r="C781" s="8">
        <v>0</v>
      </c>
      <c r="D781">
        <v>1</v>
      </c>
    </row>
    <row r="782" spans="1:4">
      <c r="A782" s="31" t="s">
        <v>443</v>
      </c>
      <c r="B782" s="6" t="s">
        <v>444</v>
      </c>
      <c r="C782" s="8">
        <v>0</v>
      </c>
      <c r="D782">
        <v>1</v>
      </c>
    </row>
    <row r="783" spans="1:4">
      <c r="A783" s="31" t="s">
        <v>443</v>
      </c>
      <c r="B783" s="6" t="s">
        <v>445</v>
      </c>
      <c r="C783" s="8">
        <v>0</v>
      </c>
      <c r="D783">
        <v>2</v>
      </c>
    </row>
    <row r="784" spans="1:4">
      <c r="A784" s="31" t="s">
        <v>443</v>
      </c>
      <c r="B784" s="6" t="s">
        <v>446</v>
      </c>
      <c r="C784" s="8">
        <v>0</v>
      </c>
      <c r="D784">
        <v>3</v>
      </c>
    </row>
    <row r="785" spans="1:4">
      <c r="A785" s="31" t="s">
        <v>443</v>
      </c>
      <c r="B785" s="6" t="s">
        <v>447</v>
      </c>
      <c r="C785" s="8">
        <v>0</v>
      </c>
      <c r="D785">
        <v>4</v>
      </c>
    </row>
  </sheetData>
  <autoFilter ref="A1:D785" xr:uid="{10BF4910-4913-4B11-AA48-7E8ACDDE2AB3}"/>
  <phoneticPr fontId="15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B1D0-F382-4132-9E47-9F7AF49660EC}">
  <sheetPr codeName="Sheet8"/>
  <dimension ref="A1:I786"/>
  <sheetViews>
    <sheetView zoomScale="60" zoomScaleNormal="60" workbookViewId="0">
      <selection activeCell="D46" sqref="D46"/>
    </sheetView>
  </sheetViews>
  <sheetFormatPr defaultRowHeight="12.3"/>
  <cols>
    <col min="1" max="1" width="56.5546875" style="9" customWidth="1"/>
    <col min="2" max="2" width="40.44140625" style="9" customWidth="1"/>
    <col min="3" max="3" width="35.83203125" style="14" bestFit="1" customWidth="1"/>
    <col min="6" max="6" width="38.83203125" bestFit="1" customWidth="1"/>
    <col min="7" max="7" width="26.5546875" bestFit="1" customWidth="1"/>
    <col min="8" max="8" width="26.83203125" bestFit="1" customWidth="1"/>
    <col min="9" max="9" width="27" bestFit="1" customWidth="1"/>
  </cols>
  <sheetData>
    <row r="1" spans="1:9">
      <c r="A1" s="67" t="s">
        <v>0</v>
      </c>
      <c r="B1" s="69" t="s">
        <v>582</v>
      </c>
      <c r="C1" s="71" t="s">
        <v>488</v>
      </c>
      <c r="F1" s="47" t="s">
        <v>0</v>
      </c>
      <c r="G1" s="47" t="s">
        <v>489</v>
      </c>
      <c r="H1" s="47" t="s">
        <v>490</v>
      </c>
      <c r="I1" s="47" t="s">
        <v>488</v>
      </c>
    </row>
    <row r="2" spans="1:9">
      <c r="A2" s="68"/>
      <c r="B2" s="70"/>
      <c r="C2" s="71"/>
      <c r="F2" s="72" t="s">
        <v>7</v>
      </c>
      <c r="G2" s="48" t="s">
        <v>8</v>
      </c>
      <c r="H2" s="49">
        <v>11</v>
      </c>
      <c r="I2" s="66" t="b">
        <v>1</v>
      </c>
    </row>
    <row r="3" spans="1:9">
      <c r="A3" s="6" t="s">
        <v>1</v>
      </c>
      <c r="B3" s="6">
        <v>1</v>
      </c>
      <c r="C3" s="8">
        <v>0</v>
      </c>
      <c r="F3" s="73"/>
      <c r="G3" s="48" t="s">
        <v>9</v>
      </c>
      <c r="H3" s="10">
        <v>4</v>
      </c>
      <c r="I3" s="66"/>
    </row>
    <row r="4" spans="1:9">
      <c r="A4" s="6" t="s">
        <v>3</v>
      </c>
      <c r="B4" s="6">
        <v>1</v>
      </c>
      <c r="C4" s="8">
        <v>0</v>
      </c>
      <c r="F4" s="74" t="s">
        <v>38</v>
      </c>
      <c r="G4" s="48" t="s">
        <v>8</v>
      </c>
      <c r="H4" s="10">
        <v>2</v>
      </c>
      <c r="I4" s="66" t="b">
        <v>0</v>
      </c>
    </row>
    <row r="5" spans="1:9">
      <c r="A5" s="6" t="s">
        <v>5</v>
      </c>
      <c r="B5" s="6">
        <v>1</v>
      </c>
      <c r="C5" s="8">
        <v>0</v>
      </c>
      <c r="F5" s="66"/>
      <c r="G5" s="48" t="s">
        <v>9</v>
      </c>
      <c r="H5" s="10">
        <v>8</v>
      </c>
      <c r="I5" s="66"/>
    </row>
    <row r="6" spans="1:9">
      <c r="A6" s="6" t="s">
        <v>7</v>
      </c>
      <c r="B6" s="6">
        <v>2</v>
      </c>
      <c r="C6" s="8">
        <v>1</v>
      </c>
    </row>
    <row r="7" spans="1:9">
      <c r="A7" s="6" t="s">
        <v>10</v>
      </c>
      <c r="B7" s="6">
        <v>2</v>
      </c>
      <c r="C7" s="8">
        <v>0</v>
      </c>
    </row>
    <row r="8" spans="1:9">
      <c r="A8" s="6" t="s">
        <v>11</v>
      </c>
      <c r="B8" s="6">
        <v>2</v>
      </c>
      <c r="C8" s="8">
        <v>0</v>
      </c>
    </row>
    <row r="9" spans="1:9">
      <c r="A9" s="6" t="s">
        <v>12</v>
      </c>
      <c r="B9" s="6">
        <v>2</v>
      </c>
      <c r="C9" s="8">
        <v>0</v>
      </c>
    </row>
    <row r="10" spans="1:9">
      <c r="A10" s="6" t="s">
        <v>13</v>
      </c>
      <c r="B10" s="6">
        <v>2</v>
      </c>
      <c r="C10" s="8">
        <v>0</v>
      </c>
    </row>
    <row r="11" spans="1:9">
      <c r="A11" s="6" t="s">
        <v>14</v>
      </c>
      <c r="B11" s="6">
        <v>2</v>
      </c>
      <c r="C11" s="8">
        <v>0</v>
      </c>
    </row>
    <row r="12" spans="1:9">
      <c r="A12" s="6" t="s">
        <v>15</v>
      </c>
      <c r="B12" s="6">
        <v>4</v>
      </c>
      <c r="C12" s="8">
        <v>0</v>
      </c>
    </row>
    <row r="13" spans="1:9">
      <c r="A13" s="6" t="s">
        <v>18</v>
      </c>
      <c r="B13" s="6">
        <v>5</v>
      </c>
      <c r="C13" s="8">
        <v>0</v>
      </c>
    </row>
    <row r="14" spans="1:9">
      <c r="A14" s="6" t="s">
        <v>20</v>
      </c>
      <c r="B14" s="6">
        <v>3</v>
      </c>
      <c r="C14" s="8">
        <v>0</v>
      </c>
    </row>
    <row r="15" spans="1:9">
      <c r="A15" s="6" t="s">
        <v>21</v>
      </c>
      <c r="B15" s="6">
        <v>1</v>
      </c>
      <c r="C15" s="8">
        <v>0</v>
      </c>
    </row>
    <row r="16" spans="1:9">
      <c r="A16" s="6" t="s">
        <v>22</v>
      </c>
      <c r="B16" s="6">
        <v>2</v>
      </c>
      <c r="C16" s="8">
        <v>1</v>
      </c>
    </row>
    <row r="17" spans="1:3">
      <c r="A17" s="6" t="s">
        <v>23</v>
      </c>
      <c r="B17" s="6">
        <v>2</v>
      </c>
      <c r="C17" s="8">
        <v>0</v>
      </c>
    </row>
    <row r="18" spans="1:3">
      <c r="A18" s="6" t="s">
        <v>24</v>
      </c>
      <c r="B18" s="6">
        <v>2</v>
      </c>
      <c r="C18" s="8">
        <v>0</v>
      </c>
    </row>
    <row r="19" spans="1:3">
      <c r="A19" s="6" t="s">
        <v>25</v>
      </c>
      <c r="B19" s="6">
        <v>3</v>
      </c>
      <c r="C19" s="8">
        <v>0</v>
      </c>
    </row>
    <row r="20" spans="1:3">
      <c r="A20" s="6" t="s">
        <v>26</v>
      </c>
      <c r="B20" s="6">
        <v>2</v>
      </c>
      <c r="C20" s="8">
        <v>0</v>
      </c>
    </row>
    <row r="21" spans="1:3">
      <c r="A21" s="6" t="s">
        <v>27</v>
      </c>
      <c r="B21" s="6">
        <v>4</v>
      </c>
      <c r="C21" s="8">
        <v>0</v>
      </c>
    </row>
    <row r="22" spans="1:3">
      <c r="A22" s="6" t="s">
        <v>28</v>
      </c>
      <c r="B22" s="6">
        <v>2</v>
      </c>
      <c r="C22" s="8">
        <v>0</v>
      </c>
    </row>
    <row r="23" spans="1:3">
      <c r="A23" s="6" t="s">
        <v>29</v>
      </c>
      <c r="B23" s="6">
        <v>2</v>
      </c>
      <c r="C23" s="8">
        <v>0</v>
      </c>
    </row>
    <row r="24" spans="1:3">
      <c r="A24" s="6" t="s">
        <v>30</v>
      </c>
      <c r="B24" s="6">
        <v>2</v>
      </c>
      <c r="C24" s="8">
        <v>1</v>
      </c>
    </row>
    <row r="25" spans="1:3">
      <c r="A25" s="6" t="s">
        <v>31</v>
      </c>
      <c r="B25" s="6">
        <v>1</v>
      </c>
      <c r="C25" s="8">
        <v>0</v>
      </c>
    </row>
    <row r="26" spans="1:3">
      <c r="A26" s="6" t="s">
        <v>32</v>
      </c>
      <c r="B26" s="6">
        <v>2</v>
      </c>
      <c r="C26" s="8">
        <v>1</v>
      </c>
    </row>
    <row r="27" spans="1:3">
      <c r="A27" s="6" t="s">
        <v>33</v>
      </c>
      <c r="B27" s="6">
        <v>2</v>
      </c>
      <c r="C27" s="8">
        <v>0</v>
      </c>
    </row>
    <row r="28" spans="1:3">
      <c r="A28" s="6" t="s">
        <v>34</v>
      </c>
      <c r="B28" s="6">
        <v>1</v>
      </c>
      <c r="C28" s="8">
        <v>0</v>
      </c>
    </row>
    <row r="29" spans="1:3">
      <c r="A29" s="6" t="s">
        <v>35</v>
      </c>
      <c r="B29" s="6">
        <v>2</v>
      </c>
      <c r="C29" s="8">
        <v>0</v>
      </c>
    </row>
    <row r="30" spans="1:3">
      <c r="A30" s="6" t="s">
        <v>36</v>
      </c>
      <c r="B30" s="6">
        <v>2</v>
      </c>
      <c r="C30" s="8">
        <v>0</v>
      </c>
    </row>
    <row r="31" spans="1:3">
      <c r="A31" s="6" t="s">
        <v>37</v>
      </c>
      <c r="B31" s="6">
        <v>5</v>
      </c>
      <c r="C31" s="8">
        <v>0</v>
      </c>
    </row>
    <row r="32" spans="1:3">
      <c r="A32" s="6" t="s">
        <v>38</v>
      </c>
      <c r="B32" s="6">
        <v>2</v>
      </c>
      <c r="C32" s="8">
        <v>0</v>
      </c>
    </row>
    <row r="33" spans="1:3">
      <c r="A33" s="6" t="s">
        <v>39</v>
      </c>
      <c r="B33" s="6">
        <v>4</v>
      </c>
      <c r="C33" s="8">
        <v>0</v>
      </c>
    </row>
    <row r="34" spans="1:3">
      <c r="A34" s="6" t="s">
        <v>40</v>
      </c>
      <c r="B34" s="6">
        <v>3</v>
      </c>
      <c r="C34" s="8">
        <v>0</v>
      </c>
    </row>
    <row r="35" spans="1:3">
      <c r="A35" s="6" t="s">
        <v>41</v>
      </c>
      <c r="B35" s="6">
        <v>3</v>
      </c>
      <c r="C35" s="8">
        <v>0</v>
      </c>
    </row>
    <row r="36" spans="1:3">
      <c r="A36" s="6" t="s">
        <v>42</v>
      </c>
      <c r="B36" s="6">
        <v>2</v>
      </c>
      <c r="C36" s="8">
        <v>0</v>
      </c>
    </row>
    <row r="37" spans="1:3">
      <c r="A37" s="6" t="s">
        <v>43</v>
      </c>
      <c r="B37" s="6">
        <v>1</v>
      </c>
      <c r="C37" s="8">
        <v>0</v>
      </c>
    </row>
    <row r="38" spans="1:3">
      <c r="A38" s="6" t="s">
        <v>44</v>
      </c>
      <c r="B38" s="6">
        <v>2</v>
      </c>
      <c r="C38" s="8">
        <v>0</v>
      </c>
    </row>
    <row r="39" spans="1:3">
      <c r="A39" s="6" t="s">
        <v>47</v>
      </c>
      <c r="B39" s="6">
        <v>1</v>
      </c>
      <c r="C39" s="8">
        <v>0</v>
      </c>
    </row>
    <row r="40" spans="1:3">
      <c r="A40" s="6" t="s">
        <v>49</v>
      </c>
      <c r="B40" s="6">
        <v>1</v>
      </c>
      <c r="C40" s="8">
        <v>0</v>
      </c>
    </row>
    <row r="41" spans="1:3">
      <c r="A41" s="6" t="s">
        <v>51</v>
      </c>
      <c r="B41" s="6">
        <v>1</v>
      </c>
      <c r="C41" s="8">
        <v>0</v>
      </c>
    </row>
    <row r="42" spans="1:3">
      <c r="A42" s="6" t="s">
        <v>53</v>
      </c>
      <c r="B42" s="6">
        <v>3</v>
      </c>
      <c r="C42" s="8">
        <v>0</v>
      </c>
    </row>
    <row r="43" spans="1:3">
      <c r="A43" s="6" t="s">
        <v>57</v>
      </c>
      <c r="B43" s="6">
        <v>1</v>
      </c>
      <c r="C43" s="8">
        <v>0</v>
      </c>
    </row>
    <row r="44" spans="1:3">
      <c r="A44" s="6" t="s">
        <v>59</v>
      </c>
      <c r="B44" s="6">
        <v>1</v>
      </c>
      <c r="C44" s="8">
        <v>0</v>
      </c>
    </row>
    <row r="45" spans="1:3">
      <c r="A45" s="6" t="s">
        <v>60</v>
      </c>
      <c r="B45" s="6">
        <v>1</v>
      </c>
      <c r="C45" s="8">
        <v>0</v>
      </c>
    </row>
    <row r="46" spans="1:3">
      <c r="A46" s="6" t="s">
        <v>61</v>
      </c>
      <c r="B46" s="6">
        <v>1</v>
      </c>
      <c r="C46" s="8">
        <v>0</v>
      </c>
    </row>
    <row r="47" spans="1:3">
      <c r="A47" s="6" t="s">
        <v>63</v>
      </c>
      <c r="B47" s="6">
        <v>1</v>
      </c>
      <c r="C47" s="8">
        <v>0</v>
      </c>
    </row>
    <row r="48" spans="1:3">
      <c r="A48" s="6" t="s">
        <v>65</v>
      </c>
      <c r="B48" s="6">
        <v>1</v>
      </c>
      <c r="C48" s="8">
        <v>0</v>
      </c>
    </row>
    <row r="49" spans="1:3">
      <c r="A49" s="6" t="s">
        <v>67</v>
      </c>
      <c r="B49" s="6">
        <v>1</v>
      </c>
      <c r="C49" s="8">
        <v>0</v>
      </c>
    </row>
    <row r="50" spans="1:3">
      <c r="A50" s="6" t="s">
        <v>68</v>
      </c>
      <c r="B50" s="6">
        <v>1</v>
      </c>
      <c r="C50" s="8">
        <v>0</v>
      </c>
    </row>
    <row r="51" spans="1:3">
      <c r="A51" s="6" t="s">
        <v>69</v>
      </c>
      <c r="B51" s="6">
        <v>1</v>
      </c>
      <c r="C51" s="8">
        <v>0</v>
      </c>
    </row>
    <row r="52" spans="1:3">
      <c r="A52" s="6" t="s">
        <v>71</v>
      </c>
      <c r="B52" s="6">
        <v>1</v>
      </c>
      <c r="C52" s="8">
        <v>0</v>
      </c>
    </row>
    <row r="53" spans="1:3">
      <c r="A53" s="6" t="s">
        <v>73</v>
      </c>
      <c r="B53" s="6">
        <v>2</v>
      </c>
      <c r="C53" s="8">
        <v>1</v>
      </c>
    </row>
    <row r="54" spans="1:3">
      <c r="A54" s="6" t="s">
        <v>75</v>
      </c>
      <c r="B54" s="6">
        <v>1</v>
      </c>
      <c r="C54" s="8">
        <v>0</v>
      </c>
    </row>
    <row r="55" spans="1:3">
      <c r="A55" s="6" t="s">
        <v>77</v>
      </c>
      <c r="B55" s="6">
        <v>1</v>
      </c>
      <c r="C55" s="8">
        <v>0</v>
      </c>
    </row>
    <row r="56" spans="1:3">
      <c r="A56" s="6" t="s">
        <v>78</v>
      </c>
      <c r="B56" s="6">
        <v>2</v>
      </c>
      <c r="C56" s="8">
        <v>0</v>
      </c>
    </row>
    <row r="57" spans="1:3">
      <c r="A57" s="6" t="s">
        <v>81</v>
      </c>
      <c r="B57" s="6">
        <v>3</v>
      </c>
      <c r="C57" s="8">
        <v>0</v>
      </c>
    </row>
    <row r="58" spans="1:3">
      <c r="A58" s="6" t="s">
        <v>85</v>
      </c>
      <c r="B58" s="6">
        <v>1</v>
      </c>
      <c r="C58" s="8">
        <v>0</v>
      </c>
    </row>
    <row r="59" spans="1:3">
      <c r="A59" s="6" t="s">
        <v>87</v>
      </c>
      <c r="B59" s="6">
        <v>1</v>
      </c>
      <c r="C59" s="8">
        <v>0</v>
      </c>
    </row>
    <row r="60" spans="1:3">
      <c r="A60" s="6" t="s">
        <v>89</v>
      </c>
      <c r="B60" s="6">
        <v>3</v>
      </c>
      <c r="C60" s="8">
        <v>0</v>
      </c>
    </row>
    <row r="61" spans="1:3">
      <c r="A61" s="6" t="s">
        <v>93</v>
      </c>
      <c r="B61" s="6">
        <v>1</v>
      </c>
      <c r="C61" s="8">
        <v>0</v>
      </c>
    </row>
    <row r="62" spans="1:3">
      <c r="A62" s="6" t="s">
        <v>95</v>
      </c>
      <c r="B62" s="6">
        <v>4</v>
      </c>
      <c r="C62" s="8">
        <v>0</v>
      </c>
    </row>
    <row r="63" spans="1:3">
      <c r="A63" s="6" t="s">
        <v>100</v>
      </c>
      <c r="B63" s="6">
        <v>3</v>
      </c>
      <c r="C63" s="8">
        <v>0</v>
      </c>
    </row>
    <row r="64" spans="1:3">
      <c r="A64" s="6" t="s">
        <v>104</v>
      </c>
      <c r="B64" s="6">
        <v>1</v>
      </c>
      <c r="C64" s="8">
        <v>0</v>
      </c>
    </row>
    <row r="65" spans="1:3">
      <c r="A65" s="6" t="s">
        <v>106</v>
      </c>
      <c r="B65" s="6">
        <v>2</v>
      </c>
      <c r="C65" s="8">
        <v>0</v>
      </c>
    </row>
    <row r="66" spans="1:3">
      <c r="A66" s="6" t="s">
        <v>109</v>
      </c>
      <c r="B66" s="6">
        <v>5</v>
      </c>
      <c r="C66" s="8">
        <v>0</v>
      </c>
    </row>
    <row r="67" spans="1:3">
      <c r="A67" s="6" t="s">
        <v>115</v>
      </c>
      <c r="B67" s="6">
        <v>5</v>
      </c>
      <c r="C67" s="8">
        <v>0</v>
      </c>
    </row>
    <row r="68" spans="1:3">
      <c r="A68" s="6" t="s">
        <v>119</v>
      </c>
      <c r="B68" s="6">
        <v>1</v>
      </c>
      <c r="C68" s="8">
        <v>0</v>
      </c>
    </row>
    <row r="69" spans="1:3">
      <c r="A69" s="6" t="s">
        <v>121</v>
      </c>
      <c r="B69" s="6">
        <v>1</v>
      </c>
      <c r="C69" s="8">
        <v>0</v>
      </c>
    </row>
    <row r="70" spans="1:3">
      <c r="A70" s="6" t="s">
        <v>123</v>
      </c>
      <c r="B70" s="6">
        <v>3</v>
      </c>
      <c r="C70" s="8">
        <v>0</v>
      </c>
    </row>
    <row r="71" spans="1:3">
      <c r="A71" s="6" t="s">
        <v>126</v>
      </c>
      <c r="B71" s="6">
        <v>1</v>
      </c>
      <c r="C71" s="8">
        <v>0</v>
      </c>
    </row>
    <row r="72" spans="1:3">
      <c r="A72" s="6" t="s">
        <v>128</v>
      </c>
      <c r="B72" s="6">
        <v>3</v>
      </c>
      <c r="C72" s="8">
        <v>0</v>
      </c>
    </row>
    <row r="73" spans="1:3">
      <c r="A73" s="6" t="s">
        <v>130</v>
      </c>
      <c r="B73" s="6">
        <v>3</v>
      </c>
      <c r="C73" s="8">
        <v>0</v>
      </c>
    </row>
    <row r="74" spans="1:3">
      <c r="A74" s="6" t="s">
        <v>134</v>
      </c>
      <c r="B74" s="6">
        <v>3</v>
      </c>
      <c r="C74" s="8">
        <v>0</v>
      </c>
    </row>
    <row r="75" spans="1:3">
      <c r="A75" s="6" t="s">
        <v>138</v>
      </c>
      <c r="B75" s="6">
        <v>2</v>
      </c>
      <c r="C75" s="8">
        <v>0</v>
      </c>
    </row>
    <row r="76" spans="1:3">
      <c r="A76" s="6" t="s">
        <v>141</v>
      </c>
      <c r="B76" s="6">
        <v>3</v>
      </c>
      <c r="C76" s="8">
        <v>0</v>
      </c>
    </row>
    <row r="77" spans="1:3">
      <c r="A77" s="6" t="s">
        <v>142</v>
      </c>
      <c r="B77" s="6">
        <v>1</v>
      </c>
      <c r="C77" s="8">
        <v>0</v>
      </c>
    </row>
    <row r="78" spans="1:3">
      <c r="A78" s="6" t="s">
        <v>143</v>
      </c>
      <c r="B78" s="6">
        <v>5</v>
      </c>
      <c r="C78" s="8">
        <v>0</v>
      </c>
    </row>
    <row r="79" spans="1:3">
      <c r="A79" s="6" t="s">
        <v>149</v>
      </c>
      <c r="B79" s="6">
        <v>2</v>
      </c>
      <c r="C79" s="8">
        <v>0</v>
      </c>
    </row>
    <row r="80" spans="1:3">
      <c r="A80" s="6" t="s">
        <v>151</v>
      </c>
      <c r="B80" s="6">
        <v>1</v>
      </c>
      <c r="C80" s="8">
        <v>0</v>
      </c>
    </row>
    <row r="81" spans="1:3">
      <c r="A81" s="6" t="s">
        <v>153</v>
      </c>
      <c r="B81" s="6">
        <v>1</v>
      </c>
      <c r="C81" s="8">
        <v>0</v>
      </c>
    </row>
    <row r="82" spans="1:3">
      <c r="A82" s="6" t="s">
        <v>155</v>
      </c>
      <c r="B82" s="6">
        <v>1</v>
      </c>
      <c r="C82" s="8">
        <v>0</v>
      </c>
    </row>
    <row r="83" spans="1:3">
      <c r="A83" s="6" t="s">
        <v>157</v>
      </c>
      <c r="B83" s="6">
        <v>5</v>
      </c>
      <c r="C83" s="8">
        <v>0</v>
      </c>
    </row>
    <row r="84" spans="1:3">
      <c r="A84" s="6" t="s">
        <v>163</v>
      </c>
      <c r="B84" s="6">
        <v>2</v>
      </c>
      <c r="C84" s="8">
        <v>0</v>
      </c>
    </row>
    <row r="85" spans="1:3">
      <c r="A85" s="6" t="s">
        <v>166</v>
      </c>
      <c r="B85" s="6">
        <v>2</v>
      </c>
      <c r="C85" s="8">
        <v>0</v>
      </c>
    </row>
    <row r="86" spans="1:3">
      <c r="A86" s="6" t="s">
        <v>169</v>
      </c>
      <c r="B86" s="6">
        <v>2</v>
      </c>
      <c r="C86" s="8">
        <v>0</v>
      </c>
    </row>
    <row r="87" spans="1:3">
      <c r="A87" s="6" t="s">
        <v>172</v>
      </c>
      <c r="B87" s="6">
        <v>1</v>
      </c>
      <c r="C87" s="8">
        <v>0</v>
      </c>
    </row>
    <row r="88" spans="1:3">
      <c r="A88" s="6" t="s">
        <v>174</v>
      </c>
      <c r="B88" s="6">
        <v>2</v>
      </c>
      <c r="C88" s="8">
        <v>1</v>
      </c>
    </row>
    <row r="89" spans="1:3">
      <c r="A89" s="6" t="s">
        <v>177</v>
      </c>
      <c r="B89" s="6">
        <v>1</v>
      </c>
      <c r="C89" s="8">
        <v>0</v>
      </c>
    </row>
    <row r="90" spans="1:3">
      <c r="A90" s="6" t="s">
        <v>179</v>
      </c>
      <c r="B90" s="6">
        <v>1</v>
      </c>
      <c r="C90" s="8">
        <v>0</v>
      </c>
    </row>
    <row r="91" spans="1:3">
      <c r="A91" s="6" t="s">
        <v>180</v>
      </c>
      <c r="B91" s="6">
        <v>1</v>
      </c>
      <c r="C91" s="8">
        <v>0</v>
      </c>
    </row>
    <row r="92" spans="1:3">
      <c r="A92" s="6" t="s">
        <v>181</v>
      </c>
      <c r="B92" s="6">
        <v>1</v>
      </c>
      <c r="C92" s="8">
        <v>0</v>
      </c>
    </row>
    <row r="93" spans="1:3">
      <c r="A93" s="6" t="s">
        <v>182</v>
      </c>
      <c r="B93" s="6">
        <v>1</v>
      </c>
      <c r="C93" s="8">
        <v>0</v>
      </c>
    </row>
    <row r="94" spans="1:3">
      <c r="A94" s="6" t="s">
        <v>183</v>
      </c>
      <c r="B94" s="6">
        <v>1</v>
      </c>
      <c r="C94" s="8">
        <v>0</v>
      </c>
    </row>
    <row r="95" spans="1:3">
      <c r="A95" s="6" t="s">
        <v>184</v>
      </c>
      <c r="B95" s="6">
        <v>1</v>
      </c>
      <c r="C95" s="8">
        <v>0</v>
      </c>
    </row>
    <row r="96" spans="1:3">
      <c r="A96" s="6" t="s">
        <v>185</v>
      </c>
      <c r="B96" s="6">
        <v>1</v>
      </c>
      <c r="C96" s="8">
        <v>0</v>
      </c>
    </row>
    <row r="97" spans="1:3">
      <c r="A97" s="6" t="s">
        <v>187</v>
      </c>
      <c r="B97" s="6">
        <v>2</v>
      </c>
      <c r="C97" s="8">
        <v>0</v>
      </c>
    </row>
    <row r="98" spans="1:3">
      <c r="A98" s="6" t="s">
        <v>190</v>
      </c>
      <c r="B98" s="6">
        <v>6</v>
      </c>
      <c r="C98" s="8">
        <v>0</v>
      </c>
    </row>
    <row r="99" spans="1:3">
      <c r="A99" s="6" t="s">
        <v>197</v>
      </c>
      <c r="B99" s="6">
        <v>1</v>
      </c>
      <c r="C99" s="8">
        <v>0</v>
      </c>
    </row>
    <row r="100" spans="1:3">
      <c r="A100" s="6" t="s">
        <v>199</v>
      </c>
      <c r="B100" s="6">
        <v>5</v>
      </c>
      <c r="C100" s="8">
        <v>0</v>
      </c>
    </row>
    <row r="101" spans="1:3">
      <c r="A101" s="6" t="s">
        <v>205</v>
      </c>
      <c r="B101" s="6">
        <v>3</v>
      </c>
      <c r="C101" s="8">
        <v>0</v>
      </c>
    </row>
    <row r="102" spans="1:3">
      <c r="A102" s="6" t="s">
        <v>209</v>
      </c>
      <c r="B102" s="6">
        <v>3</v>
      </c>
      <c r="C102" s="8">
        <v>0</v>
      </c>
    </row>
    <row r="103" spans="1:3">
      <c r="A103" s="6" t="s">
        <v>211</v>
      </c>
      <c r="B103" s="6">
        <v>3</v>
      </c>
      <c r="C103" s="8">
        <v>0</v>
      </c>
    </row>
    <row r="104" spans="1:3">
      <c r="A104" s="6" t="s">
        <v>212</v>
      </c>
      <c r="B104" s="6">
        <v>1</v>
      </c>
      <c r="C104" s="8">
        <v>0</v>
      </c>
    </row>
    <row r="105" spans="1:3">
      <c r="A105" s="6" t="s">
        <v>214</v>
      </c>
      <c r="B105" s="6">
        <v>1</v>
      </c>
      <c r="C105" s="8">
        <v>0</v>
      </c>
    </row>
    <row r="106" spans="1:3">
      <c r="A106" s="6" t="s">
        <v>216</v>
      </c>
      <c r="B106" s="6">
        <v>1</v>
      </c>
      <c r="C106" s="8">
        <v>0</v>
      </c>
    </row>
    <row r="107" spans="1:3">
      <c r="A107" s="6" t="s">
        <v>217</v>
      </c>
      <c r="B107" s="6">
        <v>1</v>
      </c>
      <c r="C107" s="8">
        <v>0</v>
      </c>
    </row>
    <row r="108" spans="1:3">
      <c r="A108" s="6" t="s">
        <v>218</v>
      </c>
      <c r="B108" s="6">
        <v>1</v>
      </c>
      <c r="C108" s="8">
        <v>0</v>
      </c>
    </row>
    <row r="109" spans="1:3">
      <c r="A109" s="6" t="s">
        <v>219</v>
      </c>
      <c r="B109" s="6">
        <v>1</v>
      </c>
      <c r="C109" s="8">
        <v>0</v>
      </c>
    </row>
    <row r="110" spans="1:3">
      <c r="A110" s="6" t="s">
        <v>220</v>
      </c>
      <c r="B110" s="6">
        <v>1</v>
      </c>
      <c r="C110" s="8">
        <v>0</v>
      </c>
    </row>
    <row r="111" spans="1:3">
      <c r="A111" s="6" t="s">
        <v>221</v>
      </c>
      <c r="B111" s="6">
        <v>2</v>
      </c>
      <c r="C111" s="8">
        <v>0</v>
      </c>
    </row>
    <row r="112" spans="1:3">
      <c r="A112" s="6" t="s">
        <v>224</v>
      </c>
      <c r="B112" s="6">
        <v>1</v>
      </c>
      <c r="C112" s="8">
        <v>0</v>
      </c>
    </row>
    <row r="113" spans="1:3">
      <c r="A113" s="6" t="s">
        <v>226</v>
      </c>
      <c r="B113" s="6">
        <v>1</v>
      </c>
      <c r="C113" s="8">
        <v>0</v>
      </c>
    </row>
    <row r="114" spans="1:3">
      <c r="A114" s="6" t="s">
        <v>228</v>
      </c>
      <c r="B114" s="6">
        <v>1</v>
      </c>
      <c r="C114" s="8">
        <v>0</v>
      </c>
    </row>
    <row r="115" spans="1:3">
      <c r="A115" s="6" t="s">
        <v>230</v>
      </c>
      <c r="B115" s="6">
        <v>1</v>
      </c>
      <c r="C115" s="8">
        <v>0</v>
      </c>
    </row>
    <row r="116" spans="1:3">
      <c r="A116" s="6" t="s">
        <v>231</v>
      </c>
      <c r="B116" s="6">
        <v>2</v>
      </c>
      <c r="C116" s="8">
        <v>0</v>
      </c>
    </row>
    <row r="117" spans="1:3">
      <c r="A117" s="6" t="s">
        <v>234</v>
      </c>
      <c r="B117" s="6">
        <v>1</v>
      </c>
      <c r="C117" s="8">
        <v>0</v>
      </c>
    </row>
    <row r="118" spans="1:3">
      <c r="A118" s="6" t="s">
        <v>235</v>
      </c>
      <c r="B118" s="6">
        <v>2</v>
      </c>
      <c r="C118" s="8">
        <v>0</v>
      </c>
    </row>
    <row r="119" spans="1:3">
      <c r="A119" s="6" t="s">
        <v>236</v>
      </c>
      <c r="B119" s="6">
        <v>1</v>
      </c>
      <c r="C119" s="8">
        <v>0</v>
      </c>
    </row>
    <row r="120" spans="1:3">
      <c r="A120" s="6" t="s">
        <v>237</v>
      </c>
      <c r="B120" s="6">
        <v>2</v>
      </c>
      <c r="C120" s="8">
        <v>0</v>
      </c>
    </row>
    <row r="121" spans="1:3">
      <c r="A121" s="6" t="s">
        <v>238</v>
      </c>
      <c r="B121" s="6">
        <v>3</v>
      </c>
      <c r="C121" s="8">
        <v>0</v>
      </c>
    </row>
    <row r="122" spans="1:3">
      <c r="A122" s="6" t="s">
        <v>240</v>
      </c>
      <c r="B122" s="6">
        <v>4</v>
      </c>
      <c r="C122" s="8">
        <v>0</v>
      </c>
    </row>
    <row r="123" spans="1:3">
      <c r="A123" s="6" t="s">
        <v>245</v>
      </c>
      <c r="B123" s="6">
        <v>1</v>
      </c>
      <c r="C123" s="8">
        <v>0</v>
      </c>
    </row>
    <row r="124" spans="1:3">
      <c r="A124" s="6" t="s">
        <v>247</v>
      </c>
      <c r="B124" s="6">
        <v>1</v>
      </c>
      <c r="C124" s="8">
        <v>0</v>
      </c>
    </row>
    <row r="125" spans="1:3">
      <c r="A125" s="6" t="s">
        <v>249</v>
      </c>
      <c r="B125" s="6">
        <v>2</v>
      </c>
      <c r="C125" s="8">
        <v>1</v>
      </c>
    </row>
    <row r="126" spans="1:3">
      <c r="A126" s="6" t="s">
        <v>252</v>
      </c>
      <c r="B126" s="6">
        <v>2</v>
      </c>
      <c r="C126" s="8">
        <v>1</v>
      </c>
    </row>
    <row r="127" spans="1:3">
      <c r="A127" s="6" t="s">
        <v>254</v>
      </c>
      <c r="B127" s="6">
        <v>1</v>
      </c>
      <c r="C127" s="8">
        <v>0</v>
      </c>
    </row>
    <row r="128" spans="1:3">
      <c r="A128" s="6" t="s">
        <v>256</v>
      </c>
      <c r="B128" s="6">
        <v>1</v>
      </c>
      <c r="C128" s="8">
        <v>0</v>
      </c>
    </row>
    <row r="129" spans="1:3">
      <c r="A129" s="6" t="s">
        <v>258</v>
      </c>
      <c r="B129" s="6">
        <v>1</v>
      </c>
      <c r="C129" s="8">
        <v>0</v>
      </c>
    </row>
    <row r="130" spans="1:3">
      <c r="A130" s="6" t="s">
        <v>259</v>
      </c>
      <c r="B130" s="6">
        <v>1</v>
      </c>
      <c r="C130" s="8">
        <v>0</v>
      </c>
    </row>
    <row r="131" spans="1:3">
      <c r="A131" s="6" t="s">
        <v>260</v>
      </c>
      <c r="B131" s="6">
        <v>2</v>
      </c>
      <c r="C131" s="8">
        <v>0</v>
      </c>
    </row>
    <row r="132" spans="1:3">
      <c r="A132" s="6" t="s">
        <v>263</v>
      </c>
      <c r="B132" s="6">
        <v>15</v>
      </c>
      <c r="C132" s="8">
        <v>0</v>
      </c>
    </row>
    <row r="133" spans="1:3">
      <c r="A133" s="6" t="s">
        <v>274</v>
      </c>
      <c r="B133" s="6">
        <v>8</v>
      </c>
      <c r="C133" s="8">
        <v>0</v>
      </c>
    </row>
    <row r="134" spans="1:3">
      <c r="A134" s="6" t="s">
        <v>275</v>
      </c>
      <c r="B134" s="6">
        <v>11</v>
      </c>
      <c r="C134" s="8">
        <v>0</v>
      </c>
    </row>
    <row r="135" spans="1:3">
      <c r="A135" s="6" t="s">
        <v>276</v>
      </c>
      <c r="B135" s="6">
        <v>7</v>
      </c>
      <c r="C135" s="8">
        <v>0</v>
      </c>
    </row>
    <row r="136" spans="1:3">
      <c r="A136" s="6" t="s">
        <v>277</v>
      </c>
      <c r="B136" s="6">
        <v>3</v>
      </c>
      <c r="C136" s="8">
        <v>0</v>
      </c>
    </row>
    <row r="137" spans="1:3">
      <c r="A137" s="6" t="s">
        <v>278</v>
      </c>
      <c r="B137" s="6">
        <v>21</v>
      </c>
      <c r="C137" s="8">
        <v>0</v>
      </c>
    </row>
    <row r="138" spans="1:3">
      <c r="A138" s="6" t="s">
        <v>285</v>
      </c>
      <c r="B138" s="6">
        <v>6</v>
      </c>
      <c r="C138" s="8">
        <v>0</v>
      </c>
    </row>
    <row r="139" spans="1:3">
      <c r="A139" s="6" t="s">
        <v>286</v>
      </c>
      <c r="B139" s="6">
        <v>11</v>
      </c>
      <c r="C139" s="8">
        <v>0</v>
      </c>
    </row>
    <row r="140" spans="1:3">
      <c r="A140" s="6" t="s">
        <v>287</v>
      </c>
      <c r="B140" s="6">
        <v>17</v>
      </c>
      <c r="C140" s="8">
        <v>0</v>
      </c>
    </row>
    <row r="141" spans="1:3">
      <c r="A141" s="6" t="s">
        <v>288</v>
      </c>
      <c r="B141" s="6">
        <v>17</v>
      </c>
      <c r="C141" s="8">
        <v>0</v>
      </c>
    </row>
    <row r="142" spans="1:3">
      <c r="A142" s="6" t="s">
        <v>290</v>
      </c>
      <c r="B142" s="6">
        <v>11</v>
      </c>
      <c r="C142" s="8">
        <v>0</v>
      </c>
    </row>
    <row r="143" spans="1:3">
      <c r="A143" s="6" t="s">
        <v>291</v>
      </c>
      <c r="B143" s="6">
        <v>8</v>
      </c>
      <c r="C143" s="8">
        <v>0</v>
      </c>
    </row>
    <row r="144" spans="1:3">
      <c r="A144" s="6" t="s">
        <v>292</v>
      </c>
      <c r="B144" s="6">
        <v>8</v>
      </c>
      <c r="C144" s="8">
        <v>0</v>
      </c>
    </row>
    <row r="145" spans="1:3">
      <c r="A145" s="6" t="s">
        <v>293</v>
      </c>
      <c r="B145" s="6">
        <v>2</v>
      </c>
      <c r="C145" s="8">
        <v>0</v>
      </c>
    </row>
    <row r="146" spans="1:3">
      <c r="A146" s="6" t="s">
        <v>294</v>
      </c>
      <c r="B146" s="6">
        <v>4</v>
      </c>
      <c r="C146" s="8">
        <v>0</v>
      </c>
    </row>
    <row r="147" spans="1:3">
      <c r="A147" s="6" t="s">
        <v>295</v>
      </c>
      <c r="B147" s="6">
        <v>1</v>
      </c>
      <c r="C147" s="8">
        <v>0</v>
      </c>
    </row>
    <row r="148" spans="1:3">
      <c r="A148" s="6" t="s">
        <v>297</v>
      </c>
      <c r="B148" s="6">
        <v>20</v>
      </c>
      <c r="C148" s="8">
        <v>0</v>
      </c>
    </row>
    <row r="149" spans="1:3">
      <c r="A149" s="6" t="s">
        <v>298</v>
      </c>
      <c r="B149" s="6">
        <v>4</v>
      </c>
      <c r="C149" s="8">
        <v>0</v>
      </c>
    </row>
    <row r="150" spans="1:3">
      <c r="A150" s="6" t="s">
        <v>299</v>
      </c>
      <c r="B150" s="6">
        <v>8</v>
      </c>
      <c r="C150" s="8">
        <v>0</v>
      </c>
    </row>
    <row r="151" spans="1:3">
      <c r="A151" s="6" t="s">
        <v>300</v>
      </c>
      <c r="B151" s="6">
        <v>8</v>
      </c>
      <c r="C151" s="8">
        <v>0</v>
      </c>
    </row>
    <row r="152" spans="1:3">
      <c r="A152" s="6" t="s">
        <v>301</v>
      </c>
      <c r="B152" s="6">
        <v>19</v>
      </c>
      <c r="C152" s="8">
        <v>0</v>
      </c>
    </row>
    <row r="153" spans="1:3">
      <c r="A153" s="6" t="s">
        <v>302</v>
      </c>
      <c r="B153" s="6">
        <v>18</v>
      </c>
      <c r="C153" s="8">
        <v>0</v>
      </c>
    </row>
    <row r="154" spans="1:3">
      <c r="A154" s="6" t="s">
        <v>304</v>
      </c>
      <c r="B154" s="6">
        <v>15</v>
      </c>
      <c r="C154" s="8">
        <v>0</v>
      </c>
    </row>
    <row r="155" spans="1:3">
      <c r="A155" s="6" t="s">
        <v>305</v>
      </c>
      <c r="B155" s="6">
        <v>3</v>
      </c>
      <c r="C155" s="8">
        <v>0</v>
      </c>
    </row>
    <row r="156" spans="1:3">
      <c r="A156" s="6" t="s">
        <v>306</v>
      </c>
      <c r="B156" s="6">
        <v>3</v>
      </c>
      <c r="C156" s="8">
        <v>0</v>
      </c>
    </row>
    <row r="157" spans="1:3">
      <c r="A157" s="6" t="s">
        <v>307</v>
      </c>
      <c r="B157" s="6">
        <v>21</v>
      </c>
      <c r="C157" s="8">
        <v>0</v>
      </c>
    </row>
    <row r="158" spans="1:3">
      <c r="A158" s="6" t="s">
        <v>308</v>
      </c>
      <c r="B158" s="6">
        <v>9</v>
      </c>
      <c r="C158" s="8">
        <v>0</v>
      </c>
    </row>
    <row r="159" spans="1:3">
      <c r="A159" s="6" t="s">
        <v>309</v>
      </c>
      <c r="B159" s="6">
        <v>19</v>
      </c>
      <c r="C159" s="8">
        <v>0</v>
      </c>
    </row>
    <row r="160" spans="1:3">
      <c r="A160" s="6" t="s">
        <v>310</v>
      </c>
      <c r="B160" s="6">
        <v>20</v>
      </c>
      <c r="C160" s="8">
        <v>0</v>
      </c>
    </row>
    <row r="161" spans="1:3">
      <c r="A161" s="6" t="s">
        <v>311</v>
      </c>
      <c r="B161" s="6">
        <v>19</v>
      </c>
      <c r="C161" s="8">
        <v>0</v>
      </c>
    </row>
    <row r="162" spans="1:3">
      <c r="A162" s="6" t="s">
        <v>312</v>
      </c>
      <c r="B162" s="6">
        <v>9</v>
      </c>
      <c r="C162" s="8">
        <v>0</v>
      </c>
    </row>
    <row r="163" spans="1:3">
      <c r="A163" s="6" t="s">
        <v>313</v>
      </c>
      <c r="B163" s="6">
        <v>3</v>
      </c>
      <c r="C163" s="8">
        <v>0</v>
      </c>
    </row>
    <row r="164" spans="1:3">
      <c r="A164" s="6" t="s">
        <v>314</v>
      </c>
      <c r="B164" s="6">
        <v>21</v>
      </c>
      <c r="C164" s="8">
        <v>0</v>
      </c>
    </row>
    <row r="165" spans="1:3">
      <c r="A165" s="6" t="s">
        <v>315</v>
      </c>
      <c r="B165" s="6">
        <v>18</v>
      </c>
      <c r="C165" s="8">
        <v>0</v>
      </c>
    </row>
    <row r="166" spans="1:3">
      <c r="A166" s="6" t="s">
        <v>316</v>
      </c>
      <c r="B166" s="6">
        <v>16</v>
      </c>
      <c r="C166" s="8">
        <v>0</v>
      </c>
    </row>
    <row r="167" spans="1:3">
      <c r="A167" s="6" t="s">
        <v>317</v>
      </c>
      <c r="B167" s="6">
        <v>8</v>
      </c>
      <c r="C167" s="8">
        <v>0</v>
      </c>
    </row>
    <row r="168" spans="1:3">
      <c r="A168" s="6" t="s">
        <v>318</v>
      </c>
      <c r="B168" s="6">
        <v>3</v>
      </c>
      <c r="C168" s="8">
        <v>0</v>
      </c>
    </row>
    <row r="169" spans="1:3">
      <c r="A169" s="6" t="s">
        <v>319</v>
      </c>
      <c r="B169" s="6">
        <v>10</v>
      </c>
      <c r="C169" s="8">
        <v>0</v>
      </c>
    </row>
    <row r="170" spans="1:3">
      <c r="A170" s="6" t="s">
        <v>320</v>
      </c>
      <c r="B170" s="6">
        <v>2</v>
      </c>
      <c r="C170" s="8">
        <v>0</v>
      </c>
    </row>
    <row r="171" spans="1:3">
      <c r="A171" s="6" t="s">
        <v>322</v>
      </c>
      <c r="B171" s="6">
        <v>1</v>
      </c>
      <c r="C171" s="8">
        <v>0</v>
      </c>
    </row>
    <row r="172" spans="1:3">
      <c r="A172" s="6" t="s">
        <v>323</v>
      </c>
      <c r="B172" s="6">
        <v>1</v>
      </c>
      <c r="C172" s="8">
        <v>0</v>
      </c>
    </row>
    <row r="173" spans="1:3">
      <c r="A173" s="6" t="s">
        <v>325</v>
      </c>
      <c r="B173" s="6">
        <v>2</v>
      </c>
      <c r="C173" s="8">
        <v>0</v>
      </c>
    </row>
    <row r="174" spans="1:3">
      <c r="A174" s="6" t="s">
        <v>328</v>
      </c>
      <c r="B174" s="6">
        <v>2</v>
      </c>
      <c r="C174" s="8">
        <v>0</v>
      </c>
    </row>
    <row r="175" spans="1:3">
      <c r="A175" s="6" t="s">
        <v>329</v>
      </c>
      <c r="B175" s="6">
        <v>1</v>
      </c>
      <c r="C175" s="8">
        <v>0</v>
      </c>
    </row>
    <row r="176" spans="1:3">
      <c r="A176" s="6" t="s">
        <v>331</v>
      </c>
      <c r="B176" s="6">
        <v>2</v>
      </c>
      <c r="C176" s="8">
        <v>0</v>
      </c>
    </row>
    <row r="177" spans="1:3">
      <c r="A177" s="6" t="s">
        <v>334</v>
      </c>
      <c r="B177" s="6">
        <v>1</v>
      </c>
      <c r="C177" s="8">
        <v>0</v>
      </c>
    </row>
    <row r="178" spans="1:3">
      <c r="A178" s="6" t="s">
        <v>335</v>
      </c>
      <c r="B178" s="6">
        <v>1</v>
      </c>
      <c r="C178" s="8">
        <v>0</v>
      </c>
    </row>
    <row r="179" spans="1:3">
      <c r="A179" s="6" t="s">
        <v>336</v>
      </c>
      <c r="B179" s="6">
        <v>1</v>
      </c>
      <c r="C179" s="8">
        <v>0</v>
      </c>
    </row>
    <row r="180" spans="1:3">
      <c r="A180" s="6" t="s">
        <v>338</v>
      </c>
      <c r="B180" s="6">
        <v>2</v>
      </c>
      <c r="C180" s="8">
        <v>0</v>
      </c>
    </row>
    <row r="181" spans="1:3">
      <c r="A181" s="6" t="s">
        <v>341</v>
      </c>
      <c r="B181" s="6">
        <v>1</v>
      </c>
      <c r="C181" s="8">
        <v>0</v>
      </c>
    </row>
    <row r="182" spans="1:3">
      <c r="A182" s="6" t="s">
        <v>343</v>
      </c>
      <c r="B182" s="6">
        <v>4</v>
      </c>
      <c r="C182" s="8">
        <v>0</v>
      </c>
    </row>
    <row r="183" spans="1:3">
      <c r="A183" s="6" t="s">
        <v>348</v>
      </c>
      <c r="B183" s="6">
        <v>1</v>
      </c>
      <c r="C183" s="8">
        <v>0</v>
      </c>
    </row>
    <row r="184" spans="1:3">
      <c r="A184" s="6" t="s">
        <v>350</v>
      </c>
      <c r="B184" s="6">
        <v>4</v>
      </c>
      <c r="C184" s="8">
        <v>0</v>
      </c>
    </row>
    <row r="185" spans="1:3">
      <c r="A185" s="6" t="s">
        <v>355</v>
      </c>
      <c r="B185" s="6">
        <v>5</v>
      </c>
      <c r="C185" s="8">
        <v>0</v>
      </c>
    </row>
    <row r="186" spans="1:3">
      <c r="A186" s="6" t="s">
        <v>358</v>
      </c>
      <c r="B186" s="6">
        <v>5</v>
      </c>
      <c r="C186" s="8">
        <v>0</v>
      </c>
    </row>
    <row r="187" spans="1:3">
      <c r="A187" s="6" t="s">
        <v>360</v>
      </c>
      <c r="B187" s="6">
        <v>3</v>
      </c>
      <c r="C187" s="8">
        <v>0</v>
      </c>
    </row>
    <row r="188" spans="1:3">
      <c r="A188" s="6" t="s">
        <v>364</v>
      </c>
      <c r="B188" s="6">
        <v>1</v>
      </c>
      <c r="C188" s="8">
        <v>0</v>
      </c>
    </row>
    <row r="189" spans="1:3">
      <c r="A189" s="6" t="s">
        <v>366</v>
      </c>
      <c r="B189" s="6">
        <v>6</v>
      </c>
      <c r="C189" s="8">
        <v>0</v>
      </c>
    </row>
    <row r="190" spans="1:3">
      <c r="A190" s="6" t="s">
        <v>373</v>
      </c>
      <c r="B190" s="6">
        <v>3</v>
      </c>
      <c r="C190" s="8">
        <v>0</v>
      </c>
    </row>
    <row r="191" spans="1:3">
      <c r="A191" s="6" t="s">
        <v>374</v>
      </c>
      <c r="B191" s="6">
        <v>1</v>
      </c>
      <c r="C191" s="8">
        <v>0</v>
      </c>
    </row>
    <row r="192" spans="1:3">
      <c r="A192" s="6" t="s">
        <v>376</v>
      </c>
      <c r="B192" s="6">
        <v>1</v>
      </c>
      <c r="C192" s="8">
        <v>0</v>
      </c>
    </row>
    <row r="193" spans="1:3">
      <c r="A193" s="6" t="s">
        <v>378</v>
      </c>
      <c r="B193" s="6">
        <v>1</v>
      </c>
      <c r="C193" s="8">
        <v>0</v>
      </c>
    </row>
    <row r="194" spans="1:3">
      <c r="A194" s="6" t="s">
        <v>380</v>
      </c>
      <c r="B194" s="6">
        <v>1</v>
      </c>
      <c r="C194" s="8">
        <v>0</v>
      </c>
    </row>
    <row r="195" spans="1:3">
      <c r="A195" s="6" t="s">
        <v>381</v>
      </c>
      <c r="B195" s="6">
        <v>1</v>
      </c>
      <c r="C195" s="8">
        <v>0</v>
      </c>
    </row>
    <row r="196" spans="1:3">
      <c r="A196" s="6" t="s">
        <v>383</v>
      </c>
      <c r="B196" s="6">
        <v>1</v>
      </c>
      <c r="C196" s="8">
        <v>0</v>
      </c>
    </row>
    <row r="197" spans="1:3">
      <c r="A197" s="6" t="s">
        <v>384</v>
      </c>
      <c r="B197" s="6">
        <v>1</v>
      </c>
      <c r="C197" s="8">
        <v>0</v>
      </c>
    </row>
    <row r="198" spans="1:3">
      <c r="A198" s="6" t="s">
        <v>385</v>
      </c>
      <c r="B198" s="6">
        <v>1</v>
      </c>
      <c r="C198" s="8">
        <v>0</v>
      </c>
    </row>
    <row r="199" spans="1:3">
      <c r="A199" s="6" t="s">
        <v>387</v>
      </c>
      <c r="B199" s="6">
        <v>3</v>
      </c>
      <c r="C199" s="8">
        <v>0</v>
      </c>
    </row>
    <row r="200" spans="1:3">
      <c r="A200" s="6" t="s">
        <v>389</v>
      </c>
      <c r="B200" s="6">
        <v>3</v>
      </c>
      <c r="C200" s="8">
        <v>0</v>
      </c>
    </row>
    <row r="201" spans="1:3">
      <c r="A201" s="6" t="s">
        <v>391</v>
      </c>
      <c r="B201" s="6">
        <v>1</v>
      </c>
      <c r="C201" s="8">
        <v>0</v>
      </c>
    </row>
    <row r="202" spans="1:3">
      <c r="A202" s="6" t="s">
        <v>393</v>
      </c>
      <c r="B202" s="6">
        <v>1</v>
      </c>
      <c r="C202" s="8">
        <v>0</v>
      </c>
    </row>
    <row r="203" spans="1:3">
      <c r="A203" s="6" t="s">
        <v>395</v>
      </c>
      <c r="B203" s="6">
        <v>2</v>
      </c>
      <c r="C203" s="8">
        <v>1</v>
      </c>
    </row>
    <row r="204" spans="1:3">
      <c r="A204" s="6" t="s">
        <v>398</v>
      </c>
      <c r="B204" s="6">
        <v>1</v>
      </c>
      <c r="C204" s="8">
        <v>0</v>
      </c>
    </row>
    <row r="205" spans="1:3">
      <c r="A205" s="6" t="s">
        <v>400</v>
      </c>
      <c r="B205" s="6">
        <v>1</v>
      </c>
      <c r="C205" s="8">
        <v>0</v>
      </c>
    </row>
    <row r="206" spans="1:3">
      <c r="A206" s="6" t="s">
        <v>402</v>
      </c>
      <c r="B206" s="6">
        <v>1</v>
      </c>
      <c r="C206" s="8">
        <v>0</v>
      </c>
    </row>
    <row r="207" spans="1:3">
      <c r="A207" s="6" t="s">
        <v>403</v>
      </c>
      <c r="B207" s="6">
        <v>1</v>
      </c>
      <c r="C207" s="8">
        <v>0</v>
      </c>
    </row>
    <row r="208" spans="1:3">
      <c r="A208" s="6" t="s">
        <v>405</v>
      </c>
      <c r="B208" s="6">
        <v>3</v>
      </c>
      <c r="C208" s="8">
        <v>0</v>
      </c>
    </row>
    <row r="209" spans="1:3">
      <c r="A209" s="6" t="s">
        <v>409</v>
      </c>
      <c r="B209" s="6">
        <v>1</v>
      </c>
      <c r="C209" s="8">
        <v>0</v>
      </c>
    </row>
    <row r="210" spans="1:3">
      <c r="A210" s="6" t="s">
        <v>411</v>
      </c>
      <c r="B210" s="6">
        <v>5</v>
      </c>
      <c r="C210" s="8">
        <v>0</v>
      </c>
    </row>
    <row r="211" spans="1:3">
      <c r="A211" s="6" t="s">
        <v>415</v>
      </c>
      <c r="B211" s="6">
        <v>1</v>
      </c>
      <c r="C211" s="8">
        <v>0</v>
      </c>
    </row>
    <row r="212" spans="1:3">
      <c r="A212" s="6" t="s">
        <v>417</v>
      </c>
      <c r="B212" s="6">
        <v>1</v>
      </c>
      <c r="C212" s="8">
        <v>0</v>
      </c>
    </row>
    <row r="213" spans="1:3">
      <c r="A213" s="6" t="s">
        <v>419</v>
      </c>
      <c r="B213" s="6">
        <v>2</v>
      </c>
      <c r="C213" s="8">
        <v>0</v>
      </c>
    </row>
    <row r="214" spans="1:3">
      <c r="A214" s="6" t="s">
        <v>422</v>
      </c>
      <c r="B214" s="6">
        <v>2</v>
      </c>
      <c r="C214" s="8">
        <v>0</v>
      </c>
    </row>
    <row r="215" spans="1:3">
      <c r="A215" s="6" t="s">
        <v>425</v>
      </c>
      <c r="B215" s="6">
        <v>1</v>
      </c>
      <c r="C215" s="8">
        <v>0</v>
      </c>
    </row>
    <row r="216" spans="1:3">
      <c r="A216" s="6" t="s">
        <v>427</v>
      </c>
      <c r="B216" s="6">
        <v>2</v>
      </c>
      <c r="C216" s="8">
        <v>0</v>
      </c>
    </row>
    <row r="217" spans="1:3">
      <c r="A217" s="6" t="s">
        <v>428</v>
      </c>
      <c r="B217" s="6">
        <v>3</v>
      </c>
      <c r="C217" s="8">
        <v>0</v>
      </c>
    </row>
    <row r="218" spans="1:3">
      <c r="A218" s="6" t="s">
        <v>432</v>
      </c>
      <c r="B218" s="6">
        <v>2</v>
      </c>
      <c r="C218" s="8">
        <v>1</v>
      </c>
    </row>
    <row r="219" spans="1:3">
      <c r="A219" s="6" t="s">
        <v>433</v>
      </c>
      <c r="B219" s="6">
        <v>2</v>
      </c>
      <c r="C219" s="8">
        <v>0</v>
      </c>
    </row>
    <row r="220" spans="1:3">
      <c r="A220" s="6" t="s">
        <v>434</v>
      </c>
      <c r="B220" s="6">
        <v>2</v>
      </c>
      <c r="C220" s="8">
        <v>0</v>
      </c>
    </row>
    <row r="221" spans="1:3">
      <c r="A221" s="6" t="s">
        <v>436</v>
      </c>
      <c r="B221" s="6">
        <v>2</v>
      </c>
      <c r="C221" s="8">
        <v>0</v>
      </c>
    </row>
    <row r="222" spans="1:3">
      <c r="A222" s="6" t="s">
        <v>437</v>
      </c>
      <c r="B222" s="6">
        <v>2</v>
      </c>
      <c r="C222" s="8">
        <v>0</v>
      </c>
    </row>
    <row r="223" spans="1:3">
      <c r="A223" s="6" t="s">
        <v>438</v>
      </c>
      <c r="B223" s="6">
        <v>1</v>
      </c>
      <c r="C223" s="8">
        <v>0</v>
      </c>
    </row>
    <row r="224" spans="1:3">
      <c r="A224" s="6" t="s">
        <v>439</v>
      </c>
      <c r="B224" s="6">
        <v>2</v>
      </c>
      <c r="C224" s="8">
        <v>0</v>
      </c>
    </row>
    <row r="225" spans="1:3">
      <c r="A225" s="6" t="s">
        <v>440</v>
      </c>
      <c r="B225" s="6">
        <v>2</v>
      </c>
      <c r="C225" s="8">
        <v>0</v>
      </c>
    </row>
    <row r="226" spans="1:3">
      <c r="A226" s="6" t="s">
        <v>441</v>
      </c>
      <c r="B226" s="6">
        <v>1</v>
      </c>
      <c r="C226" s="8">
        <v>0</v>
      </c>
    </row>
    <row r="227" spans="1:3">
      <c r="A227" s="6" t="s">
        <v>443</v>
      </c>
      <c r="B227" s="6">
        <v>4</v>
      </c>
      <c r="C227" s="8">
        <v>0</v>
      </c>
    </row>
    <row r="228" spans="1:3">
      <c r="A228" s="6"/>
      <c r="B228" s="6"/>
      <c r="C228" s="8"/>
    </row>
    <row r="229" spans="1:3">
      <c r="A229" s="6"/>
      <c r="B229" s="6"/>
      <c r="C229" s="8"/>
    </row>
    <row r="230" spans="1:3">
      <c r="A230" s="6"/>
      <c r="B230" s="6"/>
      <c r="C230" s="8"/>
    </row>
    <row r="231" spans="1:3">
      <c r="A231" s="6"/>
      <c r="B231" s="6"/>
      <c r="C231" s="8"/>
    </row>
    <row r="232" spans="1:3">
      <c r="A232" s="6"/>
      <c r="B232" s="6"/>
      <c r="C232" s="8"/>
    </row>
    <row r="233" spans="1:3">
      <c r="A233" s="6"/>
      <c r="B233" s="6"/>
      <c r="C233" s="8"/>
    </row>
    <row r="234" spans="1:3">
      <c r="A234" s="6"/>
      <c r="B234" s="6"/>
      <c r="C234" s="8"/>
    </row>
    <row r="235" spans="1:3">
      <c r="A235" s="6"/>
      <c r="B235" s="6"/>
      <c r="C235" s="8"/>
    </row>
    <row r="236" spans="1:3">
      <c r="A236" s="6"/>
      <c r="B236" s="6"/>
      <c r="C236" s="8"/>
    </row>
    <row r="237" spans="1:3">
      <c r="A237" s="6"/>
      <c r="B237" s="6"/>
      <c r="C237" s="8"/>
    </row>
    <row r="238" spans="1:3">
      <c r="A238" s="6"/>
      <c r="B238" s="6"/>
      <c r="C238" s="8"/>
    </row>
    <row r="239" spans="1:3">
      <c r="A239" s="6"/>
      <c r="B239" s="6"/>
      <c r="C239" s="8"/>
    </row>
    <row r="240" spans="1:3">
      <c r="A240" s="6"/>
      <c r="B240" s="6"/>
      <c r="C240" s="8"/>
    </row>
    <row r="241" spans="1:3">
      <c r="A241" s="6"/>
      <c r="B241" s="6"/>
      <c r="C241" s="8"/>
    </row>
    <row r="242" spans="1:3">
      <c r="A242" s="6"/>
      <c r="B242" s="6"/>
      <c r="C242" s="8"/>
    </row>
    <row r="243" spans="1:3">
      <c r="A243" s="6"/>
      <c r="B243" s="6"/>
      <c r="C243" s="8"/>
    </row>
    <row r="244" spans="1:3">
      <c r="A244" s="6"/>
      <c r="B244" s="6"/>
      <c r="C244" s="8"/>
    </row>
    <row r="245" spans="1:3">
      <c r="A245" s="6"/>
      <c r="B245" s="6"/>
      <c r="C245" s="8"/>
    </row>
    <row r="246" spans="1:3">
      <c r="A246" s="6"/>
      <c r="B246" s="6"/>
      <c r="C246" s="8"/>
    </row>
    <row r="247" spans="1:3">
      <c r="A247" s="6"/>
      <c r="B247" s="6"/>
      <c r="C247" s="8"/>
    </row>
    <row r="248" spans="1:3">
      <c r="A248" s="6"/>
      <c r="B248" s="6"/>
      <c r="C248" s="8"/>
    </row>
    <row r="249" spans="1:3">
      <c r="A249" s="6"/>
      <c r="B249" s="6"/>
      <c r="C249" s="8"/>
    </row>
    <row r="250" spans="1:3">
      <c r="A250" s="6"/>
      <c r="B250" s="6"/>
      <c r="C250" s="8"/>
    </row>
    <row r="251" spans="1:3">
      <c r="A251" s="6"/>
      <c r="B251" s="6"/>
      <c r="C251" s="8"/>
    </row>
    <row r="252" spans="1:3">
      <c r="A252" s="6"/>
      <c r="B252" s="6"/>
      <c r="C252" s="8"/>
    </row>
    <row r="253" spans="1:3">
      <c r="A253" s="6"/>
      <c r="B253" s="6"/>
      <c r="C253" s="8"/>
    </row>
    <row r="254" spans="1:3">
      <c r="A254" s="6"/>
      <c r="B254" s="6"/>
      <c r="C254" s="8"/>
    </row>
    <row r="255" spans="1:3">
      <c r="A255" s="6"/>
      <c r="B255" s="6"/>
      <c r="C255" s="8"/>
    </row>
    <row r="256" spans="1:3">
      <c r="A256" s="6"/>
      <c r="B256" s="6"/>
      <c r="C256" s="8"/>
    </row>
    <row r="257" spans="1:3">
      <c r="A257" s="6"/>
      <c r="B257" s="6"/>
      <c r="C257" s="8"/>
    </row>
    <row r="258" spans="1:3">
      <c r="A258" s="6"/>
      <c r="B258" s="6"/>
      <c r="C258" s="8"/>
    </row>
    <row r="259" spans="1:3">
      <c r="A259" s="6"/>
      <c r="B259" s="6"/>
      <c r="C259" s="8"/>
    </row>
    <row r="260" spans="1:3">
      <c r="A260" s="6"/>
      <c r="B260" s="6"/>
      <c r="C260" s="8"/>
    </row>
    <row r="261" spans="1:3">
      <c r="A261" s="6"/>
      <c r="B261" s="6"/>
      <c r="C261" s="8"/>
    </row>
    <row r="262" spans="1:3">
      <c r="A262" s="6"/>
      <c r="B262" s="6"/>
      <c r="C262" s="8"/>
    </row>
    <row r="263" spans="1:3">
      <c r="A263" s="6"/>
      <c r="B263" s="6"/>
      <c r="C263" s="8"/>
    </row>
    <row r="264" spans="1:3">
      <c r="A264" s="6"/>
      <c r="B264" s="6"/>
      <c r="C264" s="8"/>
    </row>
    <row r="265" spans="1:3">
      <c r="A265" s="6"/>
      <c r="B265" s="6"/>
      <c r="C265" s="8"/>
    </row>
    <row r="266" spans="1:3">
      <c r="A266" s="6"/>
      <c r="B266" s="6"/>
      <c r="C266" s="8"/>
    </row>
    <row r="267" spans="1:3">
      <c r="A267" s="6"/>
      <c r="B267" s="6"/>
      <c r="C267" s="8"/>
    </row>
    <row r="268" spans="1:3">
      <c r="A268" s="6"/>
      <c r="B268" s="6"/>
      <c r="C268" s="8"/>
    </row>
    <row r="269" spans="1:3">
      <c r="A269" s="6"/>
      <c r="B269" s="6"/>
      <c r="C269" s="8"/>
    </row>
    <row r="270" spans="1:3">
      <c r="A270" s="6"/>
      <c r="B270" s="6"/>
      <c r="C270" s="8"/>
    </row>
    <row r="271" spans="1:3">
      <c r="A271" s="6"/>
      <c r="B271" s="6"/>
      <c r="C271" s="8"/>
    </row>
    <row r="272" spans="1:3">
      <c r="A272" s="6"/>
      <c r="B272" s="6"/>
      <c r="C272" s="8"/>
    </row>
    <row r="273" spans="1:3">
      <c r="A273" s="6"/>
      <c r="B273" s="6"/>
      <c r="C273" s="8"/>
    </row>
    <row r="274" spans="1:3">
      <c r="A274" s="6"/>
      <c r="B274" s="6"/>
      <c r="C274" s="8"/>
    </row>
    <row r="275" spans="1:3">
      <c r="A275" s="6"/>
      <c r="B275" s="6"/>
      <c r="C275" s="8"/>
    </row>
    <row r="276" spans="1:3">
      <c r="A276" s="6"/>
      <c r="B276" s="6"/>
      <c r="C276" s="8"/>
    </row>
    <row r="277" spans="1:3">
      <c r="A277" s="6"/>
      <c r="B277" s="6"/>
      <c r="C277" s="8"/>
    </row>
    <row r="278" spans="1:3">
      <c r="A278" s="6"/>
      <c r="B278" s="6"/>
      <c r="C278" s="8"/>
    </row>
    <row r="279" spans="1:3">
      <c r="A279" s="6"/>
      <c r="B279" s="6"/>
      <c r="C279" s="8"/>
    </row>
    <row r="280" spans="1:3">
      <c r="A280" s="6"/>
      <c r="B280" s="6"/>
      <c r="C280" s="8"/>
    </row>
    <row r="281" spans="1:3">
      <c r="A281" s="6"/>
      <c r="B281" s="6"/>
      <c r="C281" s="8"/>
    </row>
    <row r="282" spans="1:3">
      <c r="A282" s="6"/>
      <c r="B282" s="6"/>
      <c r="C282" s="8"/>
    </row>
    <row r="283" spans="1:3">
      <c r="A283" s="6"/>
      <c r="B283" s="6"/>
      <c r="C283" s="8"/>
    </row>
    <row r="284" spans="1:3">
      <c r="A284" s="6"/>
      <c r="B284" s="6"/>
      <c r="C284" s="8"/>
    </row>
    <row r="285" spans="1:3">
      <c r="A285" s="6"/>
      <c r="B285" s="6"/>
      <c r="C285" s="8"/>
    </row>
    <row r="286" spans="1:3">
      <c r="A286" s="6"/>
      <c r="B286" s="6"/>
      <c r="C286" s="8"/>
    </row>
    <row r="287" spans="1:3">
      <c r="A287" s="6"/>
      <c r="B287" s="6"/>
      <c r="C287" s="8"/>
    </row>
    <row r="288" spans="1:3">
      <c r="A288" s="6"/>
      <c r="B288" s="6"/>
      <c r="C288" s="8"/>
    </row>
    <row r="289" spans="1:3">
      <c r="A289" s="6"/>
      <c r="B289" s="6"/>
      <c r="C289" s="8"/>
    </row>
    <row r="290" spans="1:3">
      <c r="A290" s="6"/>
      <c r="B290" s="6"/>
      <c r="C290" s="8"/>
    </row>
    <row r="291" spans="1:3">
      <c r="A291" s="6"/>
      <c r="B291" s="6"/>
      <c r="C291" s="8"/>
    </row>
    <row r="292" spans="1:3">
      <c r="A292" s="6"/>
      <c r="B292" s="6"/>
      <c r="C292" s="8"/>
    </row>
    <row r="293" spans="1:3">
      <c r="A293" s="6"/>
      <c r="B293" s="6"/>
      <c r="C293" s="8"/>
    </row>
    <row r="294" spans="1:3">
      <c r="A294" s="6"/>
      <c r="B294" s="6"/>
      <c r="C294" s="8"/>
    </row>
    <row r="295" spans="1:3">
      <c r="A295" s="6"/>
      <c r="B295" s="6"/>
      <c r="C295" s="8"/>
    </row>
    <row r="296" spans="1:3">
      <c r="A296" s="6"/>
      <c r="B296" s="6"/>
      <c r="C296" s="8"/>
    </row>
    <row r="297" spans="1:3">
      <c r="A297" s="6"/>
      <c r="B297" s="6"/>
      <c r="C297" s="8"/>
    </row>
    <row r="298" spans="1:3">
      <c r="A298" s="6"/>
      <c r="B298" s="6"/>
      <c r="C298" s="8"/>
    </row>
    <row r="299" spans="1:3">
      <c r="A299" s="6"/>
      <c r="B299" s="6"/>
      <c r="C299" s="8"/>
    </row>
    <row r="300" spans="1:3">
      <c r="A300" s="6"/>
      <c r="B300" s="6"/>
      <c r="C300" s="8"/>
    </row>
    <row r="301" spans="1:3">
      <c r="A301" s="6"/>
      <c r="B301" s="6"/>
      <c r="C301" s="8"/>
    </row>
    <row r="302" spans="1:3">
      <c r="A302" s="6"/>
      <c r="B302" s="6"/>
      <c r="C302" s="8"/>
    </row>
    <row r="303" spans="1:3">
      <c r="A303" s="6"/>
      <c r="B303" s="6"/>
      <c r="C303" s="8"/>
    </row>
    <row r="304" spans="1:3">
      <c r="A304" s="6"/>
      <c r="B304" s="6"/>
      <c r="C304" s="8"/>
    </row>
    <row r="305" spans="1:3">
      <c r="A305" s="6"/>
      <c r="B305" s="6"/>
      <c r="C305" s="8"/>
    </row>
    <row r="306" spans="1:3">
      <c r="A306" s="6"/>
      <c r="B306" s="6"/>
      <c r="C306" s="8"/>
    </row>
    <row r="307" spans="1:3">
      <c r="A307" s="6"/>
      <c r="B307" s="6"/>
      <c r="C307" s="8"/>
    </row>
    <row r="308" spans="1:3">
      <c r="A308" s="6"/>
      <c r="B308" s="6"/>
      <c r="C308" s="8"/>
    </row>
    <row r="309" spans="1:3">
      <c r="A309" s="6"/>
      <c r="B309" s="6"/>
      <c r="C309" s="8"/>
    </row>
    <row r="310" spans="1:3">
      <c r="A310" s="6"/>
      <c r="B310" s="6"/>
      <c r="C310" s="8"/>
    </row>
    <row r="311" spans="1:3">
      <c r="A311" s="6"/>
      <c r="B311" s="6"/>
      <c r="C311" s="8"/>
    </row>
    <row r="312" spans="1:3">
      <c r="A312" s="6"/>
      <c r="B312" s="6"/>
      <c r="C312" s="8"/>
    </row>
    <row r="313" spans="1:3">
      <c r="A313" s="6"/>
      <c r="B313" s="6"/>
      <c r="C313" s="8"/>
    </row>
    <row r="314" spans="1:3">
      <c r="A314" s="6"/>
      <c r="B314" s="6"/>
      <c r="C314" s="8"/>
    </row>
    <row r="315" spans="1:3">
      <c r="A315" s="6"/>
      <c r="B315" s="6"/>
      <c r="C315" s="8"/>
    </row>
    <row r="316" spans="1:3">
      <c r="A316" s="6"/>
      <c r="B316" s="6"/>
      <c r="C316" s="8"/>
    </row>
    <row r="317" spans="1:3">
      <c r="A317" s="6"/>
      <c r="B317" s="6"/>
      <c r="C317" s="8"/>
    </row>
    <row r="318" spans="1:3">
      <c r="A318" s="6"/>
      <c r="B318" s="6"/>
      <c r="C318" s="8"/>
    </row>
    <row r="319" spans="1:3">
      <c r="A319" s="6"/>
      <c r="B319" s="6"/>
      <c r="C319" s="8"/>
    </row>
    <row r="320" spans="1:3">
      <c r="A320" s="6"/>
      <c r="B320" s="6"/>
      <c r="C320" s="8"/>
    </row>
    <row r="321" spans="1:3">
      <c r="A321" s="6"/>
      <c r="B321" s="6"/>
      <c r="C321" s="8"/>
    </row>
    <row r="322" spans="1:3">
      <c r="A322" s="6"/>
      <c r="B322" s="6"/>
      <c r="C322" s="8"/>
    </row>
    <row r="323" spans="1:3">
      <c r="A323" s="6"/>
      <c r="B323" s="6"/>
      <c r="C323" s="8"/>
    </row>
    <row r="324" spans="1:3">
      <c r="A324" s="6"/>
      <c r="B324" s="6"/>
      <c r="C324" s="8"/>
    </row>
    <row r="325" spans="1:3">
      <c r="A325" s="6"/>
      <c r="B325" s="6"/>
      <c r="C325" s="8"/>
    </row>
    <row r="326" spans="1:3">
      <c r="A326" s="6"/>
      <c r="B326" s="6"/>
      <c r="C326" s="8"/>
    </row>
    <row r="327" spans="1:3">
      <c r="A327" s="6"/>
      <c r="B327" s="6"/>
      <c r="C327" s="8"/>
    </row>
    <row r="328" spans="1:3">
      <c r="A328" s="6"/>
      <c r="B328" s="6"/>
      <c r="C328" s="8"/>
    </row>
    <row r="329" spans="1:3">
      <c r="A329" s="6"/>
      <c r="B329" s="6"/>
      <c r="C329" s="8"/>
    </row>
    <row r="330" spans="1:3">
      <c r="A330" s="6"/>
      <c r="B330" s="6"/>
      <c r="C330" s="8"/>
    </row>
    <row r="331" spans="1:3">
      <c r="A331" s="6"/>
      <c r="B331" s="6"/>
      <c r="C331" s="8"/>
    </row>
    <row r="332" spans="1:3">
      <c r="A332" s="6"/>
      <c r="B332" s="6"/>
      <c r="C332" s="8"/>
    </row>
    <row r="333" spans="1:3">
      <c r="A333" s="6"/>
      <c r="B333" s="6"/>
      <c r="C333" s="8"/>
    </row>
    <row r="334" spans="1:3">
      <c r="A334" s="6"/>
      <c r="B334" s="6"/>
      <c r="C334" s="8"/>
    </row>
    <row r="335" spans="1:3">
      <c r="A335" s="6"/>
      <c r="B335" s="6"/>
      <c r="C335" s="8"/>
    </row>
    <row r="336" spans="1:3">
      <c r="A336" s="6"/>
      <c r="B336" s="6"/>
      <c r="C336" s="8"/>
    </row>
    <row r="337" spans="1:3">
      <c r="A337" s="6"/>
      <c r="B337" s="6"/>
      <c r="C337" s="8"/>
    </row>
    <row r="338" spans="1:3">
      <c r="A338" s="6"/>
      <c r="B338" s="6"/>
      <c r="C338" s="8"/>
    </row>
    <row r="339" spans="1:3">
      <c r="A339" s="6"/>
      <c r="B339" s="6"/>
      <c r="C339" s="8"/>
    </row>
    <row r="340" spans="1:3">
      <c r="A340" s="6"/>
      <c r="B340" s="6"/>
      <c r="C340" s="8"/>
    </row>
    <row r="341" spans="1:3">
      <c r="A341" s="6"/>
      <c r="B341" s="6"/>
      <c r="C341" s="8"/>
    </row>
    <row r="342" spans="1:3">
      <c r="A342" s="6"/>
      <c r="B342" s="6"/>
      <c r="C342" s="8"/>
    </row>
    <row r="343" spans="1:3">
      <c r="A343" s="6"/>
      <c r="B343" s="6"/>
      <c r="C343" s="8"/>
    </row>
    <row r="344" spans="1:3">
      <c r="A344" s="6"/>
      <c r="B344" s="6"/>
      <c r="C344" s="8"/>
    </row>
    <row r="345" spans="1:3">
      <c r="A345" s="6"/>
      <c r="B345" s="6"/>
      <c r="C345" s="8"/>
    </row>
    <row r="346" spans="1:3">
      <c r="A346" s="6"/>
      <c r="B346" s="6"/>
      <c r="C346" s="8"/>
    </row>
    <row r="347" spans="1:3">
      <c r="A347" s="6"/>
      <c r="B347" s="6"/>
      <c r="C347" s="8"/>
    </row>
    <row r="348" spans="1:3">
      <c r="A348" s="6"/>
      <c r="B348" s="6"/>
      <c r="C348" s="8"/>
    </row>
    <row r="349" spans="1:3">
      <c r="A349" s="6"/>
      <c r="B349" s="6"/>
      <c r="C349" s="8"/>
    </row>
    <row r="350" spans="1:3">
      <c r="A350" s="6"/>
      <c r="B350" s="6"/>
      <c r="C350" s="8"/>
    </row>
    <row r="351" spans="1:3">
      <c r="A351" s="6"/>
      <c r="B351" s="6"/>
      <c r="C351" s="8"/>
    </row>
    <row r="352" spans="1:3">
      <c r="A352" s="6"/>
      <c r="B352" s="6"/>
      <c r="C352" s="8"/>
    </row>
    <row r="353" spans="1:3">
      <c r="A353" s="6"/>
      <c r="B353" s="6"/>
      <c r="C353" s="8"/>
    </row>
    <row r="354" spans="1:3">
      <c r="A354" s="6"/>
      <c r="B354" s="6"/>
      <c r="C354" s="8"/>
    </row>
    <row r="355" spans="1:3">
      <c r="A355" s="6"/>
      <c r="B355" s="6"/>
      <c r="C355" s="8"/>
    </row>
    <row r="356" spans="1:3">
      <c r="A356" s="6"/>
      <c r="B356" s="6"/>
      <c r="C356" s="8"/>
    </row>
    <row r="357" spans="1:3">
      <c r="A357" s="6"/>
      <c r="B357" s="6"/>
      <c r="C357" s="8"/>
    </row>
    <row r="358" spans="1:3">
      <c r="A358" s="6"/>
      <c r="B358" s="6"/>
      <c r="C358" s="8"/>
    </row>
    <row r="359" spans="1:3">
      <c r="A359" s="6"/>
      <c r="B359" s="6"/>
      <c r="C359" s="8"/>
    </row>
    <row r="360" spans="1:3">
      <c r="A360" s="6"/>
      <c r="B360" s="6"/>
      <c r="C360" s="8"/>
    </row>
    <row r="361" spans="1:3">
      <c r="A361" s="6"/>
      <c r="B361" s="6"/>
      <c r="C361" s="8"/>
    </row>
    <row r="362" spans="1:3">
      <c r="A362" s="6"/>
      <c r="B362" s="6"/>
      <c r="C362" s="8"/>
    </row>
    <row r="363" spans="1:3">
      <c r="A363" s="6"/>
      <c r="B363" s="6"/>
      <c r="C363" s="8"/>
    </row>
    <row r="364" spans="1:3">
      <c r="A364" s="6"/>
      <c r="B364" s="6"/>
      <c r="C364" s="8"/>
    </row>
    <row r="365" spans="1:3">
      <c r="A365" s="6"/>
      <c r="B365" s="6"/>
      <c r="C365" s="8"/>
    </row>
    <row r="366" spans="1:3">
      <c r="A366" s="6"/>
      <c r="B366" s="6"/>
      <c r="C366" s="8"/>
    </row>
    <row r="367" spans="1:3">
      <c r="A367" s="6"/>
      <c r="B367" s="6"/>
      <c r="C367" s="8"/>
    </row>
    <row r="368" spans="1:3">
      <c r="A368" s="6"/>
      <c r="B368" s="6"/>
      <c r="C368" s="8"/>
    </row>
    <row r="369" spans="1:3">
      <c r="A369" s="6"/>
      <c r="B369" s="6"/>
      <c r="C369" s="8"/>
    </row>
    <row r="370" spans="1:3">
      <c r="A370" s="6"/>
      <c r="B370" s="6"/>
      <c r="C370" s="8"/>
    </row>
    <row r="371" spans="1:3">
      <c r="A371" s="6"/>
      <c r="B371" s="6"/>
      <c r="C371" s="8"/>
    </row>
    <row r="372" spans="1:3">
      <c r="A372" s="6"/>
      <c r="B372" s="6"/>
      <c r="C372" s="8"/>
    </row>
    <row r="373" spans="1:3">
      <c r="A373" s="6"/>
      <c r="B373" s="6"/>
      <c r="C373" s="8"/>
    </row>
    <row r="374" spans="1:3">
      <c r="A374" s="6"/>
      <c r="B374" s="6"/>
      <c r="C374" s="8"/>
    </row>
    <row r="375" spans="1:3">
      <c r="A375" s="6"/>
      <c r="B375" s="6"/>
      <c r="C375" s="8"/>
    </row>
    <row r="376" spans="1:3">
      <c r="A376" s="6"/>
      <c r="B376" s="6"/>
      <c r="C376" s="8"/>
    </row>
    <row r="377" spans="1:3">
      <c r="A377" s="6"/>
      <c r="B377" s="6"/>
      <c r="C377" s="8"/>
    </row>
    <row r="378" spans="1:3">
      <c r="A378" s="6"/>
      <c r="B378" s="6"/>
      <c r="C378" s="8"/>
    </row>
    <row r="379" spans="1:3">
      <c r="A379" s="6"/>
      <c r="B379" s="6"/>
      <c r="C379" s="8"/>
    </row>
    <row r="380" spans="1:3">
      <c r="A380" s="6"/>
      <c r="B380" s="6"/>
      <c r="C380" s="8"/>
    </row>
    <row r="381" spans="1:3">
      <c r="A381" s="6"/>
      <c r="B381" s="6"/>
      <c r="C381" s="8"/>
    </row>
    <row r="382" spans="1:3">
      <c r="A382" s="6"/>
      <c r="B382" s="6"/>
      <c r="C382" s="8"/>
    </row>
    <row r="383" spans="1:3">
      <c r="A383" s="6"/>
      <c r="B383" s="6"/>
      <c r="C383" s="8"/>
    </row>
    <row r="384" spans="1:3">
      <c r="A384" s="6"/>
      <c r="B384" s="6"/>
      <c r="C384" s="8"/>
    </row>
    <row r="385" spans="1:3">
      <c r="A385" s="6"/>
      <c r="B385" s="6"/>
      <c r="C385" s="8"/>
    </row>
    <row r="386" spans="1:3">
      <c r="A386" s="6"/>
      <c r="B386" s="6"/>
      <c r="C386" s="8"/>
    </row>
    <row r="387" spans="1:3">
      <c r="A387" s="6"/>
      <c r="B387" s="6"/>
      <c r="C387" s="8"/>
    </row>
    <row r="388" spans="1:3">
      <c r="A388" s="6"/>
      <c r="B388" s="6"/>
      <c r="C388" s="8"/>
    </row>
    <row r="389" spans="1:3">
      <c r="A389" s="6"/>
      <c r="B389" s="6"/>
      <c r="C389" s="8"/>
    </row>
    <row r="390" spans="1:3">
      <c r="A390" s="6"/>
      <c r="B390" s="6"/>
      <c r="C390" s="8"/>
    </row>
    <row r="391" spans="1:3">
      <c r="A391" s="6"/>
      <c r="B391" s="6"/>
      <c r="C391" s="8"/>
    </row>
    <row r="392" spans="1:3">
      <c r="A392" s="6"/>
      <c r="B392" s="6"/>
      <c r="C392" s="8"/>
    </row>
    <row r="393" spans="1:3">
      <c r="A393" s="6"/>
      <c r="B393" s="6"/>
      <c r="C393" s="8"/>
    </row>
    <row r="394" spans="1:3">
      <c r="A394" s="6"/>
      <c r="B394" s="6"/>
      <c r="C394" s="8"/>
    </row>
    <row r="395" spans="1:3">
      <c r="A395" s="6"/>
      <c r="B395" s="6"/>
      <c r="C395" s="8"/>
    </row>
    <row r="396" spans="1:3">
      <c r="A396" s="6"/>
      <c r="B396" s="6"/>
      <c r="C396" s="8"/>
    </row>
    <row r="397" spans="1:3">
      <c r="A397" s="6"/>
      <c r="B397" s="6"/>
      <c r="C397" s="8"/>
    </row>
    <row r="398" spans="1:3">
      <c r="A398" s="6"/>
      <c r="B398" s="6"/>
      <c r="C398" s="8"/>
    </row>
    <row r="399" spans="1:3">
      <c r="A399" s="6"/>
      <c r="B399" s="6"/>
      <c r="C399" s="8"/>
    </row>
    <row r="400" spans="1:3">
      <c r="A400" s="6"/>
      <c r="B400" s="6"/>
      <c r="C400" s="8"/>
    </row>
    <row r="401" spans="1:3">
      <c r="A401" s="6"/>
      <c r="B401" s="6"/>
      <c r="C401" s="8"/>
    </row>
    <row r="402" spans="1:3">
      <c r="A402" s="6"/>
      <c r="B402" s="6"/>
      <c r="C402" s="8"/>
    </row>
    <row r="403" spans="1:3">
      <c r="A403" s="6"/>
      <c r="B403" s="6"/>
      <c r="C403" s="8"/>
    </row>
    <row r="404" spans="1:3">
      <c r="A404" s="6"/>
      <c r="B404" s="6"/>
      <c r="C404" s="8"/>
    </row>
    <row r="405" spans="1:3">
      <c r="A405" s="6"/>
      <c r="B405" s="6"/>
      <c r="C405" s="8"/>
    </row>
    <row r="406" spans="1:3">
      <c r="A406" s="6"/>
      <c r="B406" s="6"/>
      <c r="C406" s="8"/>
    </row>
    <row r="407" spans="1:3">
      <c r="A407" s="6"/>
      <c r="B407" s="6"/>
      <c r="C407" s="8"/>
    </row>
    <row r="408" spans="1:3">
      <c r="A408" s="6"/>
      <c r="B408" s="6"/>
      <c r="C408" s="8"/>
    </row>
    <row r="409" spans="1:3">
      <c r="A409" s="6"/>
      <c r="B409" s="6"/>
      <c r="C409" s="8"/>
    </row>
    <row r="410" spans="1:3">
      <c r="A410" s="6"/>
      <c r="B410" s="6"/>
      <c r="C410" s="8"/>
    </row>
    <row r="411" spans="1:3">
      <c r="A411" s="6"/>
      <c r="B411" s="6"/>
      <c r="C411" s="8"/>
    </row>
    <row r="412" spans="1:3">
      <c r="A412" s="6"/>
      <c r="B412" s="6"/>
      <c r="C412" s="8"/>
    </row>
    <row r="413" spans="1:3">
      <c r="A413" s="6"/>
      <c r="B413" s="6"/>
      <c r="C413" s="8"/>
    </row>
    <row r="414" spans="1:3">
      <c r="A414" s="6"/>
      <c r="B414" s="6"/>
      <c r="C414" s="8"/>
    </row>
    <row r="415" spans="1:3">
      <c r="A415" s="6"/>
      <c r="B415" s="6"/>
      <c r="C415" s="8"/>
    </row>
    <row r="416" spans="1:3">
      <c r="A416" s="6"/>
      <c r="B416" s="6"/>
      <c r="C416" s="8"/>
    </row>
    <row r="417" spans="1:3">
      <c r="A417" s="6"/>
      <c r="B417" s="6"/>
      <c r="C417" s="8"/>
    </row>
    <row r="418" spans="1:3">
      <c r="A418" s="6"/>
      <c r="B418" s="6"/>
      <c r="C418" s="8"/>
    </row>
    <row r="419" spans="1:3">
      <c r="A419" s="6"/>
      <c r="B419" s="6"/>
      <c r="C419" s="8"/>
    </row>
    <row r="420" spans="1:3">
      <c r="A420" s="6"/>
      <c r="B420" s="6"/>
      <c r="C420" s="8"/>
    </row>
    <row r="421" spans="1:3">
      <c r="A421" s="6"/>
      <c r="B421" s="6"/>
      <c r="C421" s="8"/>
    </row>
    <row r="422" spans="1:3">
      <c r="A422" s="6"/>
      <c r="B422" s="6"/>
      <c r="C422" s="8"/>
    </row>
    <row r="423" spans="1:3">
      <c r="A423" s="6"/>
      <c r="B423" s="6"/>
      <c r="C423" s="8"/>
    </row>
    <row r="424" spans="1:3">
      <c r="A424" s="6"/>
      <c r="B424" s="6"/>
      <c r="C424" s="8"/>
    </row>
    <row r="425" spans="1:3">
      <c r="A425" s="6"/>
      <c r="B425" s="6"/>
      <c r="C425" s="8"/>
    </row>
    <row r="426" spans="1:3">
      <c r="A426" s="6"/>
      <c r="B426" s="6"/>
      <c r="C426" s="8"/>
    </row>
    <row r="427" spans="1:3">
      <c r="A427" s="6"/>
      <c r="B427" s="6"/>
      <c r="C427" s="8"/>
    </row>
    <row r="428" spans="1:3">
      <c r="A428" s="6"/>
      <c r="B428" s="6"/>
      <c r="C428" s="8"/>
    </row>
    <row r="429" spans="1:3">
      <c r="A429" s="6"/>
      <c r="B429" s="6"/>
      <c r="C429" s="8"/>
    </row>
    <row r="430" spans="1:3">
      <c r="A430" s="6"/>
      <c r="B430" s="6"/>
      <c r="C430" s="8"/>
    </row>
    <row r="431" spans="1:3">
      <c r="A431" s="6"/>
      <c r="B431" s="6"/>
      <c r="C431" s="8"/>
    </row>
    <row r="432" spans="1:3">
      <c r="A432" s="6"/>
      <c r="B432" s="6"/>
      <c r="C432" s="8"/>
    </row>
    <row r="433" spans="1:3">
      <c r="A433" s="6"/>
      <c r="B433" s="6"/>
      <c r="C433" s="8"/>
    </row>
    <row r="434" spans="1:3">
      <c r="A434" s="6"/>
      <c r="B434" s="6"/>
      <c r="C434" s="8"/>
    </row>
    <row r="435" spans="1:3">
      <c r="A435" s="6"/>
      <c r="B435" s="6"/>
      <c r="C435" s="8"/>
    </row>
    <row r="436" spans="1:3">
      <c r="A436" s="6"/>
      <c r="B436" s="6"/>
      <c r="C436" s="8"/>
    </row>
    <row r="437" spans="1:3">
      <c r="A437" s="6"/>
      <c r="B437" s="6"/>
      <c r="C437" s="8"/>
    </row>
    <row r="438" spans="1:3">
      <c r="A438" s="6"/>
      <c r="B438" s="6"/>
      <c r="C438" s="8"/>
    </row>
    <row r="439" spans="1:3">
      <c r="A439" s="6"/>
      <c r="B439" s="6"/>
      <c r="C439" s="8"/>
    </row>
    <row r="440" spans="1:3">
      <c r="A440" s="6"/>
      <c r="B440" s="6"/>
      <c r="C440" s="8"/>
    </row>
    <row r="441" spans="1:3">
      <c r="A441" s="6"/>
      <c r="B441" s="6"/>
      <c r="C441" s="8"/>
    </row>
    <row r="442" spans="1:3">
      <c r="A442" s="6"/>
      <c r="B442" s="6"/>
      <c r="C442" s="8"/>
    </row>
    <row r="443" spans="1:3">
      <c r="A443" s="6"/>
      <c r="B443" s="6"/>
      <c r="C443" s="8"/>
    </row>
    <row r="444" spans="1:3">
      <c r="A444" s="6"/>
      <c r="B444" s="6"/>
      <c r="C444" s="8"/>
    </row>
    <row r="445" spans="1:3">
      <c r="A445" s="6"/>
      <c r="B445" s="6"/>
      <c r="C445" s="8"/>
    </row>
    <row r="446" spans="1:3">
      <c r="A446" s="6"/>
      <c r="B446" s="6"/>
      <c r="C446" s="8"/>
    </row>
    <row r="447" spans="1:3">
      <c r="A447" s="6"/>
      <c r="B447" s="6"/>
      <c r="C447" s="8"/>
    </row>
    <row r="448" spans="1:3">
      <c r="A448" s="6"/>
      <c r="B448" s="6"/>
      <c r="C448" s="8"/>
    </row>
    <row r="449" spans="1:3">
      <c r="A449" s="6"/>
      <c r="B449" s="6"/>
      <c r="C449" s="8"/>
    </row>
    <row r="450" spans="1:3">
      <c r="A450" s="6"/>
      <c r="B450" s="6"/>
      <c r="C450" s="8"/>
    </row>
    <row r="451" spans="1:3">
      <c r="A451" s="6"/>
      <c r="B451" s="6"/>
      <c r="C451" s="8"/>
    </row>
    <row r="452" spans="1:3">
      <c r="A452" s="6"/>
      <c r="B452" s="6"/>
      <c r="C452" s="8"/>
    </row>
    <row r="453" spans="1:3">
      <c r="A453" s="6"/>
      <c r="B453" s="6"/>
      <c r="C453" s="8"/>
    </row>
    <row r="454" spans="1:3">
      <c r="A454" s="6"/>
      <c r="B454" s="6"/>
      <c r="C454" s="8"/>
    </row>
    <row r="455" spans="1:3">
      <c r="A455" s="6"/>
      <c r="B455" s="6"/>
      <c r="C455" s="8"/>
    </row>
    <row r="456" spans="1:3">
      <c r="A456" s="6"/>
      <c r="B456" s="6"/>
      <c r="C456" s="8"/>
    </row>
    <row r="457" spans="1:3">
      <c r="A457" s="6"/>
      <c r="B457" s="6"/>
      <c r="C457" s="8"/>
    </row>
    <row r="458" spans="1:3">
      <c r="A458" s="6"/>
      <c r="B458" s="6"/>
      <c r="C458" s="8"/>
    </row>
    <row r="459" spans="1:3">
      <c r="A459" s="6"/>
      <c r="B459" s="6"/>
      <c r="C459" s="8"/>
    </row>
    <row r="460" spans="1:3">
      <c r="A460" s="6"/>
      <c r="B460" s="6"/>
      <c r="C460" s="8"/>
    </row>
    <row r="461" spans="1:3">
      <c r="A461" s="6"/>
      <c r="B461" s="6"/>
      <c r="C461" s="8"/>
    </row>
    <row r="462" spans="1:3">
      <c r="A462" s="6"/>
      <c r="B462" s="6"/>
      <c r="C462" s="8"/>
    </row>
    <row r="463" spans="1:3">
      <c r="A463" s="6"/>
      <c r="B463" s="6"/>
      <c r="C463" s="8"/>
    </row>
    <row r="464" spans="1:3">
      <c r="A464" s="6"/>
      <c r="B464" s="6"/>
      <c r="C464" s="8"/>
    </row>
    <row r="465" spans="1:3">
      <c r="A465" s="6"/>
      <c r="B465" s="6"/>
      <c r="C465" s="8"/>
    </row>
    <row r="466" spans="1:3">
      <c r="A466" s="6"/>
      <c r="B466" s="6"/>
      <c r="C466" s="8"/>
    </row>
    <row r="467" spans="1:3">
      <c r="A467" s="6"/>
      <c r="B467" s="6"/>
      <c r="C467" s="8"/>
    </row>
    <row r="468" spans="1:3">
      <c r="A468" s="6"/>
      <c r="B468" s="6"/>
      <c r="C468" s="8"/>
    </row>
    <row r="469" spans="1:3">
      <c r="A469" s="6"/>
      <c r="B469" s="6"/>
      <c r="C469" s="8"/>
    </row>
    <row r="470" spans="1:3">
      <c r="A470" s="6"/>
      <c r="B470" s="6"/>
      <c r="C470" s="8"/>
    </row>
    <row r="471" spans="1:3">
      <c r="A471" s="6"/>
      <c r="B471" s="6"/>
      <c r="C471" s="8"/>
    </row>
    <row r="472" spans="1:3">
      <c r="A472" s="6"/>
      <c r="B472" s="6"/>
      <c r="C472" s="8"/>
    </row>
    <row r="473" spans="1:3">
      <c r="A473" s="6"/>
      <c r="B473" s="6"/>
      <c r="C473" s="8"/>
    </row>
    <row r="474" spans="1:3">
      <c r="A474" s="6"/>
      <c r="B474" s="6"/>
      <c r="C474" s="8"/>
    </row>
    <row r="475" spans="1:3">
      <c r="A475" s="6"/>
      <c r="B475" s="6"/>
      <c r="C475" s="8"/>
    </row>
    <row r="476" spans="1:3">
      <c r="A476" s="6"/>
      <c r="B476" s="6"/>
      <c r="C476" s="8"/>
    </row>
    <row r="477" spans="1:3">
      <c r="A477" s="6"/>
      <c r="B477" s="6"/>
      <c r="C477" s="8"/>
    </row>
    <row r="478" spans="1:3">
      <c r="A478" s="6"/>
      <c r="B478" s="6"/>
      <c r="C478" s="8"/>
    </row>
    <row r="479" spans="1:3">
      <c r="A479" s="6"/>
      <c r="B479" s="6"/>
      <c r="C479" s="8"/>
    </row>
    <row r="480" spans="1:3">
      <c r="A480" s="6"/>
      <c r="B480" s="6"/>
      <c r="C480" s="8"/>
    </row>
    <row r="481" spans="1:3">
      <c r="A481" s="6"/>
      <c r="B481" s="6"/>
      <c r="C481" s="8"/>
    </row>
    <row r="482" spans="1:3">
      <c r="A482" s="6"/>
      <c r="B482" s="6"/>
      <c r="C482" s="8"/>
    </row>
    <row r="483" spans="1:3">
      <c r="A483" s="6"/>
      <c r="B483" s="6"/>
      <c r="C483" s="8"/>
    </row>
    <row r="484" spans="1:3">
      <c r="A484" s="6"/>
      <c r="B484" s="6"/>
      <c r="C484" s="8"/>
    </row>
    <row r="485" spans="1:3">
      <c r="A485" s="6"/>
      <c r="B485" s="6"/>
      <c r="C485" s="8"/>
    </row>
    <row r="486" spans="1:3">
      <c r="A486" s="6"/>
      <c r="B486" s="6"/>
      <c r="C486" s="8"/>
    </row>
    <row r="487" spans="1:3">
      <c r="A487" s="6"/>
      <c r="B487" s="6"/>
      <c r="C487" s="8"/>
    </row>
    <row r="488" spans="1:3">
      <c r="A488" s="6"/>
      <c r="B488" s="6"/>
      <c r="C488" s="8"/>
    </row>
    <row r="489" spans="1:3">
      <c r="A489" s="6"/>
      <c r="B489" s="6"/>
      <c r="C489" s="8"/>
    </row>
    <row r="490" spans="1:3">
      <c r="A490" s="6"/>
      <c r="B490" s="6"/>
      <c r="C490" s="8"/>
    </row>
    <row r="491" spans="1:3">
      <c r="A491" s="6"/>
      <c r="B491" s="6"/>
      <c r="C491" s="8"/>
    </row>
    <row r="492" spans="1:3">
      <c r="A492" s="6"/>
      <c r="B492" s="6"/>
      <c r="C492" s="8"/>
    </row>
    <row r="493" spans="1:3">
      <c r="A493" s="6"/>
      <c r="B493" s="6"/>
      <c r="C493" s="8"/>
    </row>
    <row r="494" spans="1:3">
      <c r="A494" s="6"/>
      <c r="B494" s="6"/>
      <c r="C494" s="8"/>
    </row>
    <row r="495" spans="1:3">
      <c r="A495" s="6"/>
      <c r="B495" s="6"/>
      <c r="C495" s="8"/>
    </row>
    <row r="496" spans="1:3">
      <c r="A496" s="6"/>
      <c r="B496" s="6"/>
      <c r="C496" s="8"/>
    </row>
    <row r="497" spans="1:3">
      <c r="A497" s="6"/>
      <c r="B497" s="6"/>
      <c r="C497" s="8"/>
    </row>
    <row r="498" spans="1:3">
      <c r="A498" s="6"/>
      <c r="B498" s="6"/>
      <c r="C498" s="8"/>
    </row>
    <row r="499" spans="1:3">
      <c r="A499" s="6"/>
      <c r="B499" s="6"/>
      <c r="C499" s="8"/>
    </row>
    <row r="500" spans="1:3">
      <c r="A500" s="6"/>
      <c r="B500" s="6"/>
      <c r="C500" s="8"/>
    </row>
    <row r="501" spans="1:3">
      <c r="A501" s="6"/>
      <c r="B501" s="6"/>
      <c r="C501" s="8"/>
    </row>
    <row r="502" spans="1:3">
      <c r="A502" s="6"/>
      <c r="B502" s="6"/>
      <c r="C502" s="8"/>
    </row>
    <row r="503" spans="1:3">
      <c r="A503" s="6"/>
      <c r="B503" s="6"/>
      <c r="C503" s="8"/>
    </row>
    <row r="504" spans="1:3">
      <c r="A504" s="6"/>
      <c r="B504" s="6"/>
      <c r="C504" s="8"/>
    </row>
    <row r="505" spans="1:3">
      <c r="A505" s="6"/>
      <c r="B505" s="6"/>
      <c r="C505" s="8"/>
    </row>
    <row r="506" spans="1:3">
      <c r="A506" s="6"/>
      <c r="B506" s="6"/>
      <c r="C506" s="8"/>
    </row>
    <row r="507" spans="1:3">
      <c r="A507" s="6"/>
      <c r="B507" s="6"/>
      <c r="C507" s="8"/>
    </row>
    <row r="508" spans="1:3">
      <c r="A508" s="6"/>
      <c r="B508" s="6"/>
      <c r="C508" s="8"/>
    </row>
    <row r="509" spans="1:3">
      <c r="A509" s="6"/>
      <c r="B509" s="6"/>
      <c r="C509" s="8"/>
    </row>
    <row r="510" spans="1:3">
      <c r="A510" s="6"/>
      <c r="B510" s="6"/>
      <c r="C510" s="8"/>
    </row>
    <row r="511" spans="1:3">
      <c r="A511" s="6"/>
      <c r="B511" s="6"/>
      <c r="C511" s="8"/>
    </row>
    <row r="512" spans="1:3">
      <c r="A512" s="6"/>
      <c r="B512" s="6"/>
      <c r="C512" s="8"/>
    </row>
    <row r="513" spans="1:3">
      <c r="A513" s="6"/>
      <c r="B513" s="6"/>
      <c r="C513" s="8"/>
    </row>
    <row r="514" spans="1:3">
      <c r="A514" s="6"/>
      <c r="B514" s="6"/>
      <c r="C514" s="8"/>
    </row>
    <row r="515" spans="1:3">
      <c r="A515" s="6"/>
      <c r="B515" s="6"/>
      <c r="C515" s="8"/>
    </row>
    <row r="516" spans="1:3">
      <c r="A516" s="6"/>
      <c r="B516" s="6"/>
      <c r="C516" s="8"/>
    </row>
    <row r="517" spans="1:3">
      <c r="A517" s="6"/>
      <c r="B517" s="6"/>
      <c r="C517" s="8"/>
    </row>
    <row r="518" spans="1:3">
      <c r="A518" s="6"/>
      <c r="B518" s="6"/>
      <c r="C518" s="8"/>
    </row>
    <row r="519" spans="1:3">
      <c r="A519" s="6"/>
      <c r="B519" s="6"/>
      <c r="C519" s="8"/>
    </row>
    <row r="520" spans="1:3">
      <c r="A520" s="6"/>
      <c r="B520" s="6"/>
      <c r="C520" s="8"/>
    </row>
    <row r="521" spans="1:3">
      <c r="A521" s="6"/>
      <c r="B521" s="6"/>
      <c r="C521" s="8"/>
    </row>
    <row r="522" spans="1:3">
      <c r="A522" s="6"/>
      <c r="B522" s="6"/>
      <c r="C522" s="8"/>
    </row>
    <row r="523" spans="1:3">
      <c r="A523" s="6"/>
      <c r="B523" s="6"/>
      <c r="C523" s="8"/>
    </row>
    <row r="524" spans="1:3">
      <c r="A524" s="6"/>
      <c r="B524" s="6"/>
      <c r="C524" s="8"/>
    </row>
    <row r="525" spans="1:3">
      <c r="A525" s="6"/>
      <c r="B525" s="6"/>
      <c r="C525" s="8"/>
    </row>
    <row r="526" spans="1:3">
      <c r="A526" s="6"/>
      <c r="B526" s="6"/>
      <c r="C526" s="8"/>
    </row>
    <row r="527" spans="1:3">
      <c r="A527" s="6"/>
      <c r="B527" s="6"/>
      <c r="C527" s="8"/>
    </row>
    <row r="528" spans="1:3">
      <c r="A528" s="6"/>
      <c r="B528" s="6"/>
      <c r="C528" s="8"/>
    </row>
    <row r="529" spans="1:3">
      <c r="A529" s="6"/>
      <c r="B529" s="6"/>
      <c r="C529" s="8"/>
    </row>
    <row r="530" spans="1:3">
      <c r="A530" s="6"/>
      <c r="B530" s="6"/>
      <c r="C530" s="8"/>
    </row>
    <row r="531" spans="1:3">
      <c r="A531" s="6"/>
      <c r="B531" s="6"/>
      <c r="C531" s="8"/>
    </row>
    <row r="532" spans="1:3">
      <c r="A532" s="6"/>
      <c r="B532" s="6"/>
      <c r="C532" s="8"/>
    </row>
    <row r="533" spans="1:3">
      <c r="A533" s="6"/>
      <c r="B533" s="6"/>
      <c r="C533" s="8"/>
    </row>
    <row r="534" spans="1:3">
      <c r="A534" s="6"/>
      <c r="B534" s="6"/>
      <c r="C534" s="8"/>
    </row>
    <row r="535" spans="1:3">
      <c r="A535" s="6"/>
      <c r="B535" s="6"/>
      <c r="C535" s="8"/>
    </row>
    <row r="536" spans="1:3">
      <c r="A536" s="6"/>
      <c r="B536" s="6"/>
      <c r="C536" s="8"/>
    </row>
    <row r="537" spans="1:3">
      <c r="A537" s="6"/>
      <c r="B537" s="6"/>
      <c r="C537" s="8"/>
    </row>
    <row r="538" spans="1:3">
      <c r="A538" s="6"/>
      <c r="B538" s="6"/>
      <c r="C538" s="8"/>
    </row>
    <row r="539" spans="1:3">
      <c r="A539" s="6"/>
      <c r="B539" s="6"/>
      <c r="C539" s="8"/>
    </row>
    <row r="540" spans="1:3">
      <c r="A540" s="6"/>
      <c r="B540" s="6"/>
      <c r="C540" s="8"/>
    </row>
    <row r="541" spans="1:3">
      <c r="A541" s="6"/>
      <c r="B541" s="6"/>
      <c r="C541" s="8"/>
    </row>
    <row r="542" spans="1:3">
      <c r="A542" s="6"/>
      <c r="B542" s="6"/>
      <c r="C542" s="8"/>
    </row>
    <row r="543" spans="1:3">
      <c r="A543" s="6"/>
      <c r="B543" s="6"/>
      <c r="C543" s="8"/>
    </row>
    <row r="544" spans="1:3">
      <c r="A544" s="6"/>
      <c r="B544" s="6"/>
      <c r="C544" s="8"/>
    </row>
    <row r="545" spans="1:3">
      <c r="A545" s="6"/>
      <c r="B545" s="6"/>
      <c r="C545" s="8"/>
    </row>
    <row r="546" spans="1:3">
      <c r="A546" s="6"/>
      <c r="B546" s="6"/>
      <c r="C546" s="8"/>
    </row>
    <row r="547" spans="1:3">
      <c r="A547" s="6"/>
      <c r="B547" s="6"/>
      <c r="C547" s="8"/>
    </row>
    <row r="548" spans="1:3">
      <c r="A548" s="6"/>
      <c r="B548" s="6"/>
      <c r="C548" s="8"/>
    </row>
    <row r="549" spans="1:3">
      <c r="A549" s="6"/>
      <c r="B549" s="6"/>
      <c r="C549" s="8"/>
    </row>
    <row r="550" spans="1:3">
      <c r="A550" s="6"/>
      <c r="B550" s="6"/>
      <c r="C550" s="8"/>
    </row>
    <row r="551" spans="1:3">
      <c r="A551" s="6"/>
      <c r="B551" s="6"/>
      <c r="C551" s="8"/>
    </row>
    <row r="552" spans="1:3">
      <c r="A552" s="6"/>
      <c r="B552" s="6"/>
      <c r="C552" s="8"/>
    </row>
    <row r="553" spans="1:3">
      <c r="A553" s="6"/>
      <c r="B553" s="6"/>
      <c r="C553" s="8"/>
    </row>
    <row r="554" spans="1:3">
      <c r="A554" s="6"/>
      <c r="B554" s="6"/>
      <c r="C554" s="8"/>
    </row>
    <row r="555" spans="1:3">
      <c r="A555" s="6"/>
      <c r="B555" s="6"/>
      <c r="C555" s="8"/>
    </row>
    <row r="556" spans="1:3">
      <c r="A556" s="6"/>
      <c r="B556" s="6"/>
      <c r="C556" s="8"/>
    </row>
    <row r="557" spans="1:3">
      <c r="A557" s="6"/>
      <c r="B557" s="6"/>
      <c r="C557" s="8"/>
    </row>
    <row r="558" spans="1:3">
      <c r="A558" s="6"/>
      <c r="B558" s="6"/>
      <c r="C558" s="8"/>
    </row>
    <row r="559" spans="1:3">
      <c r="A559" s="6"/>
      <c r="B559" s="6"/>
      <c r="C559" s="8"/>
    </row>
    <row r="560" spans="1:3">
      <c r="A560" s="6"/>
      <c r="B560" s="6"/>
      <c r="C560" s="8"/>
    </row>
    <row r="561" spans="1:3">
      <c r="A561" s="6"/>
      <c r="B561" s="6"/>
      <c r="C561" s="8"/>
    </row>
    <row r="562" spans="1:3">
      <c r="A562" s="6"/>
      <c r="B562" s="6"/>
      <c r="C562" s="8"/>
    </row>
    <row r="563" spans="1:3">
      <c r="A563" s="6"/>
      <c r="B563" s="6"/>
      <c r="C563" s="8"/>
    </row>
    <row r="564" spans="1:3">
      <c r="A564" s="6"/>
      <c r="B564" s="6"/>
      <c r="C564" s="8"/>
    </row>
    <row r="565" spans="1:3">
      <c r="A565" s="6"/>
      <c r="B565" s="6"/>
      <c r="C565" s="8"/>
    </row>
    <row r="566" spans="1:3">
      <c r="A566" s="6"/>
      <c r="B566" s="6"/>
      <c r="C566" s="8"/>
    </row>
    <row r="567" spans="1:3">
      <c r="A567" s="6"/>
      <c r="B567" s="6"/>
      <c r="C567" s="8"/>
    </row>
    <row r="568" spans="1:3">
      <c r="A568" s="6"/>
      <c r="B568" s="6"/>
      <c r="C568" s="8"/>
    </row>
    <row r="569" spans="1:3">
      <c r="A569" s="6"/>
      <c r="B569" s="6"/>
      <c r="C569" s="8"/>
    </row>
    <row r="570" spans="1:3">
      <c r="A570" s="6"/>
      <c r="B570" s="6"/>
      <c r="C570" s="8"/>
    </row>
    <row r="571" spans="1:3">
      <c r="A571" s="6"/>
      <c r="B571" s="6"/>
      <c r="C571" s="8"/>
    </row>
    <row r="572" spans="1:3">
      <c r="A572" s="6"/>
      <c r="B572" s="6"/>
      <c r="C572" s="8"/>
    </row>
    <row r="573" spans="1:3">
      <c r="A573" s="6"/>
      <c r="B573" s="6"/>
      <c r="C573" s="8"/>
    </row>
    <row r="574" spans="1:3">
      <c r="A574" s="6"/>
      <c r="B574" s="6"/>
      <c r="C574" s="8"/>
    </row>
    <row r="575" spans="1:3">
      <c r="A575" s="6"/>
      <c r="B575" s="6"/>
      <c r="C575" s="8"/>
    </row>
    <row r="576" spans="1:3">
      <c r="A576" s="6"/>
      <c r="B576" s="6"/>
      <c r="C576" s="8"/>
    </row>
    <row r="577" spans="1:3">
      <c r="A577" s="6"/>
      <c r="B577" s="6"/>
      <c r="C577" s="8"/>
    </row>
    <row r="578" spans="1:3">
      <c r="A578" s="6"/>
      <c r="B578" s="6"/>
      <c r="C578" s="8"/>
    </row>
    <row r="579" spans="1:3">
      <c r="A579" s="6"/>
      <c r="B579" s="6"/>
      <c r="C579" s="8"/>
    </row>
    <row r="580" spans="1:3">
      <c r="A580" s="6"/>
      <c r="B580" s="6"/>
      <c r="C580" s="8"/>
    </row>
    <row r="581" spans="1:3">
      <c r="A581" s="6"/>
      <c r="B581" s="6"/>
      <c r="C581" s="8"/>
    </row>
    <row r="582" spans="1:3">
      <c r="A582" s="6"/>
      <c r="B582" s="6"/>
      <c r="C582" s="8"/>
    </row>
    <row r="583" spans="1:3">
      <c r="A583" s="6"/>
      <c r="B583" s="6"/>
      <c r="C583" s="8"/>
    </row>
    <row r="584" spans="1:3">
      <c r="A584" s="6"/>
      <c r="B584" s="6"/>
      <c r="C584" s="8"/>
    </row>
    <row r="585" spans="1:3">
      <c r="A585" s="6"/>
      <c r="B585" s="6"/>
      <c r="C585" s="8"/>
    </row>
    <row r="586" spans="1:3">
      <c r="A586" s="6"/>
      <c r="B586" s="6"/>
      <c r="C586" s="8"/>
    </row>
    <row r="587" spans="1:3">
      <c r="A587" s="6"/>
      <c r="B587" s="6"/>
      <c r="C587" s="8"/>
    </row>
    <row r="588" spans="1:3">
      <c r="A588" s="6"/>
      <c r="B588" s="6"/>
      <c r="C588" s="8"/>
    </row>
    <row r="589" spans="1:3">
      <c r="A589" s="6"/>
      <c r="B589" s="6"/>
      <c r="C589" s="8"/>
    </row>
    <row r="590" spans="1:3">
      <c r="A590" s="6"/>
      <c r="B590" s="6"/>
      <c r="C590" s="8"/>
    </row>
    <row r="591" spans="1:3">
      <c r="A591" s="6"/>
      <c r="B591" s="6"/>
      <c r="C591" s="8"/>
    </row>
    <row r="592" spans="1:3">
      <c r="A592" s="6"/>
      <c r="B592" s="6"/>
      <c r="C592" s="8"/>
    </row>
    <row r="593" spans="1:3">
      <c r="A593" s="6"/>
      <c r="B593" s="6"/>
      <c r="C593" s="8"/>
    </row>
    <row r="594" spans="1:3">
      <c r="A594" s="6"/>
      <c r="B594" s="6"/>
      <c r="C594" s="8"/>
    </row>
    <row r="595" spans="1:3">
      <c r="A595" s="6"/>
      <c r="B595" s="6"/>
      <c r="C595" s="8"/>
    </row>
    <row r="596" spans="1:3">
      <c r="A596" s="6"/>
      <c r="B596" s="6"/>
      <c r="C596" s="8"/>
    </row>
    <row r="597" spans="1:3">
      <c r="A597" s="6"/>
      <c r="B597" s="6"/>
      <c r="C597" s="8"/>
    </row>
    <row r="598" spans="1:3">
      <c r="A598" s="6"/>
      <c r="B598" s="6"/>
      <c r="C598" s="8"/>
    </row>
    <row r="599" spans="1:3">
      <c r="A599" s="6"/>
      <c r="B599" s="6"/>
      <c r="C599" s="8"/>
    </row>
    <row r="600" spans="1:3">
      <c r="A600" s="6"/>
      <c r="B600" s="6"/>
      <c r="C600" s="8"/>
    </row>
    <row r="601" spans="1:3">
      <c r="A601" s="6"/>
      <c r="B601" s="6"/>
      <c r="C601" s="8"/>
    </row>
    <row r="602" spans="1:3">
      <c r="A602" s="6"/>
      <c r="B602" s="6"/>
      <c r="C602" s="8"/>
    </row>
    <row r="603" spans="1:3">
      <c r="A603" s="6"/>
      <c r="B603" s="6"/>
      <c r="C603" s="8"/>
    </row>
    <row r="604" spans="1:3">
      <c r="A604" s="6"/>
      <c r="B604" s="6"/>
      <c r="C604" s="8"/>
    </row>
    <row r="605" spans="1:3">
      <c r="A605" s="6"/>
      <c r="B605" s="6"/>
      <c r="C605" s="8"/>
    </row>
    <row r="606" spans="1:3">
      <c r="A606" s="6"/>
      <c r="B606" s="6"/>
      <c r="C606" s="8"/>
    </row>
    <row r="607" spans="1:3">
      <c r="A607" s="6"/>
      <c r="B607" s="6"/>
      <c r="C607" s="8"/>
    </row>
    <row r="608" spans="1:3">
      <c r="A608" s="6"/>
      <c r="B608" s="6"/>
      <c r="C608" s="8"/>
    </row>
    <row r="609" spans="1:3">
      <c r="A609" s="6"/>
      <c r="B609" s="6"/>
      <c r="C609" s="8"/>
    </row>
    <row r="610" spans="1:3">
      <c r="A610" s="6"/>
      <c r="B610" s="6"/>
      <c r="C610" s="8"/>
    </row>
    <row r="611" spans="1:3">
      <c r="A611" s="6"/>
      <c r="B611" s="6"/>
      <c r="C611" s="8"/>
    </row>
    <row r="612" spans="1:3">
      <c r="A612" s="6"/>
      <c r="B612" s="6"/>
      <c r="C612" s="8"/>
    </row>
    <row r="613" spans="1:3">
      <c r="A613" s="6"/>
      <c r="B613" s="6"/>
      <c r="C613" s="8"/>
    </row>
    <row r="614" spans="1:3">
      <c r="A614" s="6"/>
      <c r="B614" s="6"/>
      <c r="C614" s="8"/>
    </row>
    <row r="615" spans="1:3">
      <c r="A615" s="6"/>
      <c r="B615" s="6"/>
      <c r="C615" s="8"/>
    </row>
    <row r="616" spans="1:3">
      <c r="A616" s="6"/>
      <c r="B616" s="6"/>
      <c r="C616" s="8"/>
    </row>
    <row r="617" spans="1:3">
      <c r="A617" s="6"/>
      <c r="B617" s="6"/>
      <c r="C617" s="8"/>
    </row>
    <row r="618" spans="1:3">
      <c r="A618" s="6"/>
      <c r="B618" s="6"/>
      <c r="C618" s="8"/>
    </row>
    <row r="619" spans="1:3">
      <c r="A619" s="6"/>
      <c r="B619" s="6"/>
      <c r="C619" s="8"/>
    </row>
    <row r="620" spans="1:3">
      <c r="A620" s="6"/>
      <c r="B620" s="6"/>
      <c r="C620" s="8"/>
    </row>
    <row r="621" spans="1:3">
      <c r="A621" s="6"/>
      <c r="B621" s="6"/>
      <c r="C621" s="8"/>
    </row>
    <row r="622" spans="1:3">
      <c r="A622" s="6"/>
      <c r="B622" s="6"/>
      <c r="C622" s="8"/>
    </row>
    <row r="623" spans="1:3">
      <c r="A623" s="6"/>
      <c r="B623" s="6"/>
      <c r="C623" s="8"/>
    </row>
    <row r="624" spans="1:3">
      <c r="A624" s="6"/>
      <c r="B624" s="6"/>
      <c r="C624" s="8"/>
    </row>
    <row r="625" spans="1:3">
      <c r="A625" s="6"/>
      <c r="B625" s="6"/>
      <c r="C625" s="8"/>
    </row>
    <row r="626" spans="1:3">
      <c r="A626" s="6"/>
      <c r="B626" s="6"/>
      <c r="C626" s="8"/>
    </row>
    <row r="627" spans="1:3">
      <c r="A627" s="6"/>
      <c r="B627" s="6"/>
      <c r="C627" s="8"/>
    </row>
    <row r="628" spans="1:3">
      <c r="A628" s="6"/>
      <c r="B628" s="6"/>
      <c r="C628" s="8"/>
    </row>
    <row r="629" spans="1:3">
      <c r="A629" s="6"/>
      <c r="B629" s="6"/>
      <c r="C629" s="8"/>
    </row>
    <row r="630" spans="1:3">
      <c r="A630" s="6"/>
      <c r="B630" s="6"/>
      <c r="C630" s="8"/>
    </row>
    <row r="631" spans="1:3">
      <c r="A631" s="6"/>
      <c r="B631" s="6"/>
      <c r="C631" s="8"/>
    </row>
    <row r="632" spans="1:3">
      <c r="A632" s="6"/>
      <c r="B632" s="6"/>
      <c r="C632" s="8"/>
    </row>
    <row r="633" spans="1:3">
      <c r="A633" s="6"/>
      <c r="B633" s="6"/>
      <c r="C633" s="8"/>
    </row>
    <row r="634" spans="1:3">
      <c r="A634" s="6"/>
      <c r="B634" s="6"/>
      <c r="C634" s="8"/>
    </row>
    <row r="635" spans="1:3">
      <c r="A635" s="6"/>
      <c r="B635" s="6"/>
      <c r="C635" s="8"/>
    </row>
    <row r="636" spans="1:3">
      <c r="A636" s="6"/>
      <c r="B636" s="6"/>
      <c r="C636" s="8"/>
    </row>
    <row r="637" spans="1:3">
      <c r="A637" s="6"/>
      <c r="B637" s="6"/>
      <c r="C637" s="8"/>
    </row>
    <row r="638" spans="1:3">
      <c r="A638" s="6"/>
      <c r="B638" s="6"/>
      <c r="C638" s="8"/>
    </row>
    <row r="639" spans="1:3">
      <c r="A639" s="6"/>
      <c r="B639" s="6"/>
      <c r="C639" s="8"/>
    </row>
    <row r="640" spans="1:3">
      <c r="A640" s="6"/>
      <c r="B640" s="6"/>
      <c r="C640" s="8"/>
    </row>
    <row r="641" spans="1:3">
      <c r="A641" s="6"/>
      <c r="B641" s="6"/>
      <c r="C641" s="8"/>
    </row>
    <row r="642" spans="1:3">
      <c r="A642" s="6"/>
      <c r="B642" s="6"/>
      <c r="C642" s="8"/>
    </row>
    <row r="643" spans="1:3">
      <c r="A643" s="6"/>
      <c r="B643" s="6"/>
      <c r="C643" s="8"/>
    </row>
    <row r="644" spans="1:3">
      <c r="A644" s="6"/>
      <c r="B644" s="6"/>
      <c r="C644" s="8"/>
    </row>
    <row r="645" spans="1:3">
      <c r="A645" s="6"/>
      <c r="B645" s="6"/>
      <c r="C645" s="8"/>
    </row>
    <row r="646" spans="1:3">
      <c r="A646" s="6"/>
      <c r="B646" s="6"/>
      <c r="C646" s="8"/>
    </row>
    <row r="647" spans="1:3">
      <c r="A647" s="6"/>
      <c r="B647" s="6"/>
      <c r="C647" s="8"/>
    </row>
    <row r="648" spans="1:3">
      <c r="A648" s="6"/>
      <c r="B648" s="6"/>
      <c r="C648" s="8"/>
    </row>
    <row r="649" spans="1:3">
      <c r="A649" s="6"/>
      <c r="B649" s="6"/>
      <c r="C649" s="8"/>
    </row>
    <row r="650" spans="1:3">
      <c r="A650" s="6"/>
      <c r="B650" s="6"/>
      <c r="C650" s="8"/>
    </row>
    <row r="651" spans="1:3">
      <c r="A651" s="6"/>
      <c r="B651" s="6"/>
      <c r="C651" s="8"/>
    </row>
    <row r="652" spans="1:3">
      <c r="A652" s="6"/>
      <c r="B652" s="6"/>
      <c r="C652" s="8"/>
    </row>
    <row r="653" spans="1:3">
      <c r="A653" s="6"/>
      <c r="B653" s="6"/>
      <c r="C653" s="8"/>
    </row>
    <row r="654" spans="1:3">
      <c r="A654" s="6"/>
      <c r="B654" s="6"/>
      <c r="C654" s="8"/>
    </row>
    <row r="655" spans="1:3">
      <c r="A655" s="6"/>
      <c r="B655" s="6"/>
      <c r="C655" s="8"/>
    </row>
    <row r="656" spans="1:3">
      <c r="A656" s="6"/>
      <c r="B656" s="6"/>
      <c r="C656" s="8"/>
    </row>
    <row r="657" spans="1:3">
      <c r="A657" s="6"/>
      <c r="B657" s="6"/>
      <c r="C657" s="8"/>
    </row>
    <row r="658" spans="1:3">
      <c r="A658" s="6"/>
      <c r="B658" s="6"/>
      <c r="C658" s="8"/>
    </row>
    <row r="659" spans="1:3">
      <c r="A659" s="6"/>
      <c r="B659" s="6"/>
      <c r="C659" s="8"/>
    </row>
    <row r="660" spans="1:3">
      <c r="A660" s="6"/>
      <c r="B660" s="6"/>
      <c r="C660" s="8"/>
    </row>
    <row r="661" spans="1:3">
      <c r="A661" s="6"/>
      <c r="B661" s="6"/>
      <c r="C661" s="8"/>
    </row>
    <row r="662" spans="1:3">
      <c r="A662" s="6"/>
      <c r="B662" s="6"/>
      <c r="C662" s="8"/>
    </row>
    <row r="663" spans="1:3">
      <c r="A663" s="6"/>
      <c r="B663" s="6"/>
      <c r="C663" s="8"/>
    </row>
    <row r="664" spans="1:3">
      <c r="A664" s="6"/>
      <c r="B664" s="6"/>
      <c r="C664" s="8"/>
    </row>
    <row r="665" spans="1:3">
      <c r="A665" s="6"/>
      <c r="B665" s="6"/>
      <c r="C665" s="8"/>
    </row>
    <row r="666" spans="1:3">
      <c r="A666" s="6"/>
      <c r="B666" s="6"/>
      <c r="C666" s="8"/>
    </row>
    <row r="667" spans="1:3">
      <c r="A667" s="6"/>
      <c r="B667" s="6"/>
      <c r="C667" s="8"/>
    </row>
    <row r="668" spans="1:3">
      <c r="A668" s="6"/>
      <c r="B668" s="6"/>
      <c r="C668" s="8"/>
    </row>
    <row r="669" spans="1:3">
      <c r="A669" s="6"/>
      <c r="B669" s="6"/>
      <c r="C669" s="8"/>
    </row>
    <row r="670" spans="1:3">
      <c r="A670" s="6"/>
      <c r="B670" s="6"/>
      <c r="C670" s="8"/>
    </row>
    <row r="671" spans="1:3">
      <c r="A671" s="6"/>
      <c r="B671" s="6"/>
      <c r="C671" s="8"/>
    </row>
    <row r="672" spans="1:3">
      <c r="A672" s="6"/>
      <c r="B672" s="6"/>
      <c r="C672" s="8"/>
    </row>
    <row r="673" spans="1:3">
      <c r="A673" s="6"/>
      <c r="B673" s="6"/>
      <c r="C673" s="8"/>
    </row>
    <row r="674" spans="1:3">
      <c r="A674" s="6"/>
      <c r="B674" s="6"/>
      <c r="C674" s="8"/>
    </row>
    <row r="675" spans="1:3">
      <c r="A675" s="6"/>
      <c r="B675" s="6"/>
      <c r="C675" s="8"/>
    </row>
    <row r="676" spans="1:3">
      <c r="A676" s="6"/>
      <c r="B676" s="6"/>
      <c r="C676" s="8"/>
    </row>
    <row r="677" spans="1:3">
      <c r="A677" s="6"/>
      <c r="B677" s="6"/>
      <c r="C677" s="8"/>
    </row>
    <row r="678" spans="1:3">
      <c r="A678" s="6"/>
      <c r="B678" s="6"/>
      <c r="C678" s="8"/>
    </row>
    <row r="679" spans="1:3">
      <c r="A679" s="6"/>
      <c r="B679" s="6"/>
      <c r="C679" s="8"/>
    </row>
    <row r="680" spans="1:3">
      <c r="A680" s="6"/>
      <c r="B680" s="6"/>
      <c r="C680" s="8"/>
    </row>
    <row r="681" spans="1:3">
      <c r="A681" s="6"/>
      <c r="B681" s="6"/>
      <c r="C681" s="8"/>
    </row>
    <row r="682" spans="1:3">
      <c r="A682" s="6"/>
      <c r="B682" s="6"/>
      <c r="C682" s="8"/>
    </row>
    <row r="683" spans="1:3">
      <c r="A683" s="6"/>
      <c r="B683" s="6"/>
      <c r="C683" s="8"/>
    </row>
    <row r="684" spans="1:3">
      <c r="A684" s="6"/>
      <c r="B684" s="6"/>
      <c r="C684" s="8"/>
    </row>
    <row r="685" spans="1:3">
      <c r="A685" s="6"/>
      <c r="B685" s="6"/>
      <c r="C685" s="8"/>
    </row>
    <row r="686" spans="1:3">
      <c r="A686" s="6"/>
      <c r="B686" s="6"/>
      <c r="C686" s="8"/>
    </row>
    <row r="687" spans="1:3">
      <c r="A687" s="6"/>
      <c r="B687" s="6"/>
      <c r="C687" s="8"/>
    </row>
    <row r="688" spans="1:3">
      <c r="A688" s="6"/>
      <c r="B688" s="6"/>
      <c r="C688" s="8"/>
    </row>
    <row r="689" spans="1:3">
      <c r="A689" s="6"/>
      <c r="B689" s="6"/>
      <c r="C689" s="8"/>
    </row>
    <row r="690" spans="1:3">
      <c r="A690" s="6"/>
      <c r="B690" s="6"/>
      <c r="C690" s="8"/>
    </row>
    <row r="691" spans="1:3">
      <c r="A691" s="6"/>
      <c r="B691" s="6"/>
      <c r="C691" s="8"/>
    </row>
    <row r="692" spans="1:3">
      <c r="A692" s="6"/>
      <c r="B692" s="6"/>
      <c r="C692" s="8"/>
    </row>
    <row r="693" spans="1:3">
      <c r="A693" s="6"/>
      <c r="B693" s="6"/>
      <c r="C693" s="8"/>
    </row>
    <row r="694" spans="1:3">
      <c r="A694" s="6"/>
      <c r="B694" s="6"/>
      <c r="C694" s="8"/>
    </row>
    <row r="695" spans="1:3">
      <c r="A695" s="6"/>
      <c r="B695" s="6"/>
      <c r="C695" s="8"/>
    </row>
    <row r="696" spans="1:3">
      <c r="A696" s="6"/>
      <c r="B696" s="6"/>
      <c r="C696" s="8"/>
    </row>
    <row r="697" spans="1:3">
      <c r="A697" s="6"/>
      <c r="B697" s="6"/>
      <c r="C697" s="8"/>
    </row>
    <row r="698" spans="1:3">
      <c r="A698" s="6"/>
      <c r="B698" s="6"/>
      <c r="C698" s="8"/>
    </row>
    <row r="699" spans="1:3">
      <c r="A699" s="6"/>
      <c r="B699" s="6"/>
      <c r="C699" s="8"/>
    </row>
    <row r="700" spans="1:3">
      <c r="A700" s="6"/>
      <c r="B700" s="6"/>
      <c r="C700" s="8"/>
    </row>
    <row r="701" spans="1:3">
      <c r="A701" s="6"/>
      <c r="B701" s="6"/>
      <c r="C701" s="8"/>
    </row>
    <row r="702" spans="1:3">
      <c r="A702" s="6"/>
      <c r="B702" s="6"/>
      <c r="C702" s="8"/>
    </row>
    <row r="703" spans="1:3">
      <c r="A703" s="6"/>
      <c r="B703" s="6"/>
      <c r="C703" s="8"/>
    </row>
    <row r="704" spans="1:3">
      <c r="A704" s="6"/>
      <c r="B704" s="6"/>
      <c r="C704" s="8"/>
    </row>
    <row r="705" spans="1:3">
      <c r="A705" s="6"/>
      <c r="B705" s="6"/>
      <c r="C705" s="8"/>
    </row>
    <row r="706" spans="1:3">
      <c r="A706" s="6"/>
      <c r="B706" s="6"/>
      <c r="C706" s="8"/>
    </row>
    <row r="707" spans="1:3">
      <c r="A707" s="6"/>
      <c r="B707" s="6"/>
      <c r="C707" s="8"/>
    </row>
    <row r="708" spans="1:3">
      <c r="A708" s="6"/>
      <c r="B708" s="6"/>
      <c r="C708" s="8"/>
    </row>
    <row r="709" spans="1:3">
      <c r="A709" s="6"/>
      <c r="B709" s="6"/>
      <c r="C709" s="8"/>
    </row>
    <row r="710" spans="1:3">
      <c r="A710" s="6"/>
      <c r="B710" s="6"/>
      <c r="C710" s="8"/>
    </row>
    <row r="711" spans="1:3">
      <c r="A711" s="6"/>
      <c r="B711" s="6"/>
      <c r="C711" s="8"/>
    </row>
    <row r="712" spans="1:3">
      <c r="A712" s="6"/>
      <c r="B712" s="6"/>
      <c r="C712" s="8"/>
    </row>
    <row r="713" spans="1:3">
      <c r="A713" s="6"/>
      <c r="B713" s="6"/>
      <c r="C713" s="8"/>
    </row>
    <row r="714" spans="1:3">
      <c r="A714" s="6"/>
      <c r="B714" s="6"/>
      <c r="C714" s="8"/>
    </row>
    <row r="715" spans="1:3">
      <c r="A715" s="6"/>
      <c r="B715" s="6"/>
      <c r="C715" s="8"/>
    </row>
    <row r="716" spans="1:3">
      <c r="A716" s="6"/>
      <c r="B716" s="6"/>
      <c r="C716" s="8"/>
    </row>
    <row r="717" spans="1:3">
      <c r="A717" s="6"/>
      <c r="B717" s="6"/>
      <c r="C717" s="8"/>
    </row>
    <row r="718" spans="1:3">
      <c r="A718" s="6"/>
      <c r="B718" s="6"/>
      <c r="C718" s="8"/>
    </row>
    <row r="719" spans="1:3">
      <c r="A719" s="6"/>
      <c r="B719" s="6"/>
      <c r="C719" s="8"/>
    </row>
    <row r="720" spans="1:3">
      <c r="A720" s="6"/>
      <c r="B720" s="6"/>
      <c r="C720" s="8"/>
    </row>
    <row r="721" spans="1:3">
      <c r="A721" s="6"/>
      <c r="B721" s="6"/>
      <c r="C721" s="8"/>
    </row>
    <row r="722" spans="1:3">
      <c r="A722" s="6"/>
      <c r="B722" s="6"/>
      <c r="C722" s="8"/>
    </row>
    <row r="723" spans="1:3">
      <c r="A723" s="6"/>
      <c r="B723" s="6"/>
      <c r="C723" s="8"/>
    </row>
    <row r="724" spans="1:3">
      <c r="A724" s="6"/>
      <c r="B724" s="6"/>
      <c r="C724" s="8"/>
    </row>
    <row r="725" spans="1:3">
      <c r="A725" s="6"/>
      <c r="B725" s="6"/>
      <c r="C725" s="8"/>
    </row>
    <row r="726" spans="1:3">
      <c r="A726" s="6"/>
      <c r="B726" s="6"/>
      <c r="C726" s="8"/>
    </row>
    <row r="727" spans="1:3">
      <c r="A727" s="6"/>
      <c r="B727" s="6"/>
      <c r="C727" s="8"/>
    </row>
    <row r="728" spans="1:3">
      <c r="A728" s="6"/>
      <c r="B728" s="6"/>
      <c r="C728" s="8"/>
    </row>
    <row r="729" spans="1:3">
      <c r="A729" s="6"/>
      <c r="B729" s="6"/>
      <c r="C729" s="8"/>
    </row>
    <row r="730" spans="1:3">
      <c r="A730" s="6"/>
      <c r="B730" s="6"/>
      <c r="C730" s="8"/>
    </row>
    <row r="731" spans="1:3">
      <c r="A731" s="6"/>
      <c r="B731" s="6"/>
      <c r="C731" s="8"/>
    </row>
    <row r="732" spans="1:3">
      <c r="A732" s="6"/>
      <c r="B732" s="6"/>
      <c r="C732" s="8"/>
    </row>
    <row r="733" spans="1:3">
      <c r="A733" s="6"/>
      <c r="B733" s="6"/>
      <c r="C733" s="8"/>
    </row>
    <row r="734" spans="1:3">
      <c r="A734" s="6"/>
      <c r="B734" s="6"/>
      <c r="C734" s="8"/>
    </row>
    <row r="735" spans="1:3">
      <c r="A735" s="6"/>
      <c r="B735" s="6"/>
      <c r="C735" s="8"/>
    </row>
    <row r="736" spans="1:3">
      <c r="A736" s="6"/>
      <c r="B736" s="6"/>
      <c r="C736" s="8"/>
    </row>
    <row r="737" spans="1:3">
      <c r="A737" s="6"/>
      <c r="B737" s="6"/>
      <c r="C737" s="8"/>
    </row>
    <row r="738" spans="1:3">
      <c r="A738" s="6"/>
      <c r="B738" s="6"/>
      <c r="C738" s="8"/>
    </row>
    <row r="739" spans="1:3">
      <c r="A739" s="6"/>
      <c r="B739" s="6"/>
      <c r="C739" s="8"/>
    </row>
    <row r="740" spans="1:3">
      <c r="A740" s="6"/>
      <c r="B740" s="6"/>
      <c r="C740" s="8"/>
    </row>
    <row r="741" spans="1:3">
      <c r="A741" s="6"/>
      <c r="B741" s="6"/>
      <c r="C741" s="8"/>
    </row>
    <row r="742" spans="1:3">
      <c r="A742" s="6"/>
      <c r="B742" s="6"/>
      <c r="C742" s="8"/>
    </row>
    <row r="743" spans="1:3">
      <c r="A743" s="6"/>
      <c r="B743" s="6"/>
      <c r="C743" s="8"/>
    </row>
    <row r="744" spans="1:3">
      <c r="A744" s="6"/>
      <c r="B744" s="6"/>
      <c r="C744" s="8"/>
    </row>
    <row r="745" spans="1:3">
      <c r="A745" s="6"/>
      <c r="B745" s="6"/>
      <c r="C745" s="8"/>
    </row>
    <row r="746" spans="1:3">
      <c r="A746" s="6"/>
      <c r="B746" s="6"/>
      <c r="C746" s="8"/>
    </row>
    <row r="747" spans="1:3">
      <c r="A747" s="6"/>
      <c r="B747" s="6"/>
      <c r="C747" s="8"/>
    </row>
    <row r="748" spans="1:3">
      <c r="A748" s="6"/>
      <c r="B748" s="6"/>
      <c r="C748" s="8"/>
    </row>
    <row r="749" spans="1:3">
      <c r="A749" s="6"/>
      <c r="B749" s="6"/>
      <c r="C749" s="8"/>
    </row>
    <row r="750" spans="1:3">
      <c r="A750" s="6"/>
      <c r="B750" s="6"/>
      <c r="C750" s="8"/>
    </row>
    <row r="751" spans="1:3">
      <c r="A751" s="6"/>
      <c r="B751" s="6"/>
      <c r="C751" s="8"/>
    </row>
    <row r="752" spans="1:3">
      <c r="A752" s="6"/>
      <c r="B752" s="6"/>
      <c r="C752" s="8"/>
    </row>
    <row r="753" spans="1:3">
      <c r="A753" s="6"/>
      <c r="B753" s="6"/>
      <c r="C753" s="8"/>
    </row>
    <row r="754" spans="1:3">
      <c r="A754" s="6"/>
      <c r="B754" s="6"/>
      <c r="C754" s="8"/>
    </row>
    <row r="755" spans="1:3">
      <c r="A755" s="6"/>
      <c r="B755" s="6"/>
      <c r="C755" s="8"/>
    </row>
    <row r="756" spans="1:3">
      <c r="A756" s="6"/>
      <c r="B756" s="6"/>
      <c r="C756" s="8"/>
    </row>
    <row r="757" spans="1:3">
      <c r="A757" s="6"/>
      <c r="B757" s="6"/>
      <c r="C757" s="8"/>
    </row>
    <row r="758" spans="1:3">
      <c r="A758" s="6"/>
      <c r="B758" s="6"/>
      <c r="C758" s="8"/>
    </row>
    <row r="759" spans="1:3">
      <c r="A759" s="6"/>
      <c r="B759" s="6"/>
      <c r="C759" s="8"/>
    </row>
    <row r="760" spans="1:3">
      <c r="A760" s="6"/>
      <c r="B760" s="6"/>
      <c r="C760" s="8"/>
    </row>
    <row r="761" spans="1:3">
      <c r="A761" s="6"/>
      <c r="B761" s="6"/>
      <c r="C761" s="8"/>
    </row>
    <row r="762" spans="1:3">
      <c r="A762" s="6"/>
      <c r="B762" s="6"/>
      <c r="C762" s="8"/>
    </row>
    <row r="763" spans="1:3">
      <c r="A763" s="6"/>
      <c r="B763" s="6"/>
      <c r="C763" s="8"/>
    </row>
    <row r="764" spans="1:3">
      <c r="A764" s="6"/>
      <c r="B764" s="6"/>
      <c r="C764" s="8"/>
    </row>
    <row r="765" spans="1:3">
      <c r="A765" s="6"/>
      <c r="B765" s="6"/>
      <c r="C765" s="8"/>
    </row>
    <row r="766" spans="1:3">
      <c r="A766" s="6"/>
      <c r="B766" s="6"/>
      <c r="C766" s="8"/>
    </row>
    <row r="767" spans="1:3">
      <c r="A767" s="6"/>
      <c r="B767" s="6"/>
      <c r="C767" s="8"/>
    </row>
    <row r="768" spans="1:3">
      <c r="A768" s="6"/>
      <c r="B768" s="6"/>
      <c r="C768" s="8"/>
    </row>
    <row r="769" spans="1:3">
      <c r="A769" s="6"/>
      <c r="B769" s="6"/>
      <c r="C769" s="8"/>
    </row>
    <row r="770" spans="1:3">
      <c r="A770" s="6"/>
      <c r="B770" s="6"/>
      <c r="C770" s="8"/>
    </row>
    <row r="771" spans="1:3">
      <c r="A771" s="6"/>
      <c r="B771" s="6"/>
      <c r="C771" s="8"/>
    </row>
    <row r="772" spans="1:3">
      <c r="A772" s="6"/>
      <c r="B772" s="6"/>
      <c r="C772" s="8"/>
    </row>
    <row r="773" spans="1:3">
      <c r="A773" s="6"/>
      <c r="B773" s="6"/>
      <c r="C773" s="8"/>
    </row>
    <row r="774" spans="1:3">
      <c r="A774" s="6"/>
      <c r="B774" s="6"/>
      <c r="C774" s="8"/>
    </row>
    <row r="775" spans="1:3">
      <c r="A775" s="6"/>
      <c r="B775" s="6"/>
      <c r="C775" s="8"/>
    </row>
    <row r="776" spans="1:3">
      <c r="A776" s="6"/>
      <c r="B776" s="6"/>
      <c r="C776" s="8"/>
    </row>
    <row r="777" spans="1:3">
      <c r="A777" s="6"/>
      <c r="B777" s="6"/>
      <c r="C777" s="8"/>
    </row>
    <row r="778" spans="1:3">
      <c r="A778" s="6"/>
      <c r="B778" s="6"/>
      <c r="C778" s="8"/>
    </row>
    <row r="779" spans="1:3">
      <c r="A779" s="6"/>
      <c r="B779" s="6"/>
      <c r="C779" s="8"/>
    </row>
    <row r="780" spans="1:3">
      <c r="A780" s="6"/>
      <c r="B780" s="6"/>
      <c r="C780" s="8"/>
    </row>
    <row r="781" spans="1:3">
      <c r="A781" s="6"/>
      <c r="B781" s="6"/>
      <c r="C781" s="8"/>
    </row>
    <row r="782" spans="1:3">
      <c r="A782" s="6"/>
      <c r="B782" s="6"/>
      <c r="C782" s="8"/>
    </row>
    <row r="783" spans="1:3">
      <c r="A783" s="6"/>
      <c r="B783" s="6"/>
      <c r="C783" s="8"/>
    </row>
    <row r="784" spans="1:3">
      <c r="A784" s="6"/>
      <c r="B784" s="6"/>
      <c r="C784" s="8"/>
    </row>
    <row r="785" spans="1:3">
      <c r="A785" s="6"/>
      <c r="B785" s="6"/>
      <c r="C785" s="8"/>
    </row>
    <row r="786" spans="1:3">
      <c r="A786" s="6"/>
      <c r="B786" s="6"/>
      <c r="C786" s="8"/>
    </row>
  </sheetData>
  <autoFilter ref="A1:C227" xr:uid="{C0F6B1D0-F382-4132-9E47-9F7AF49660EC}"/>
  <mergeCells count="7">
    <mergeCell ref="I2:I3"/>
    <mergeCell ref="I4:I5"/>
    <mergeCell ref="A1:A2"/>
    <mergeCell ref="B1:B2"/>
    <mergeCell ref="C1:C2"/>
    <mergeCell ref="F2:F3"/>
    <mergeCell ref="F4:F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Sheet1</vt:lpstr>
      <vt:lpstr>RQ1_1</vt:lpstr>
      <vt:lpstr>RQ1_1.1</vt:lpstr>
      <vt:lpstr>RQ1_2</vt:lpstr>
      <vt:lpstr>RQ1_3</vt:lpstr>
      <vt:lpstr>RQ2</vt:lpstr>
      <vt:lpstr>RQ3_1</vt:lpstr>
      <vt:lpstr>RQ3_2</vt:lpstr>
      <vt:lpstr>Sheet1!Criteria</vt:lpstr>
      <vt:lpstr>Sheet1!Extract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Potes</dc:creator>
  <cp:lastModifiedBy>Nicolás Potes</cp:lastModifiedBy>
  <dcterms:created xsi:type="dcterms:W3CDTF">2022-02-16T21:22:45Z</dcterms:created>
  <dcterms:modified xsi:type="dcterms:W3CDTF">2022-07-14T04:27:14Z</dcterms:modified>
</cp:coreProperties>
</file>